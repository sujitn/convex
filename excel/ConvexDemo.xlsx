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nd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Spread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chem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Convex Excel Add-In — Demo workbook</t>
        </is>
      </c>
    </row>
    <row r="2">
      <c r="A2" t="inlineStr"/>
    </row>
    <row r="3">
      <c r="A3" t="inlineStr">
        <is>
          <t>Every formula here uses the CX.* UDF surface defined in excel/README.md.</t>
        </is>
      </c>
    </row>
    <row r="4">
      <c r="A4" t="inlineStr">
        <is>
          <t>Open with the Convex add-in loaded (the packed .xll under bin/Release/net472/publish/).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• Bonds      — build fixed/callable/FRN/zero, mark-driven price + risk grid.</t>
        </is>
      </c>
    </row>
    <row r="8">
      <c r="A8" t="inlineStr">
        <is>
          <t xml:space="preserve">  • Curves     — discrete + bootstrapped curves, plot points via CX.CURVE.QUERY.</t>
        </is>
      </c>
    </row>
    <row r="9">
      <c r="A9" t="inlineStr">
        <is>
          <t xml:space="preserve">  • Spreads    — Z / I / ASW on a swap curve; G-spread on a separate gov curve.</t>
        </is>
      </c>
    </row>
    <row r="10">
      <c r="A10" t="inlineStr">
        <is>
          <t xml:space="preserve">  • Scenarios  — parallel-shift bps ladder against the base bond.</t>
        </is>
      </c>
    </row>
    <row r="11">
      <c r="A11" t="inlineStr">
        <is>
          <t xml:space="preserve">  • Schemas    — JSON wire format for any DTO via CX.SCHEMA.</t>
        </is>
      </c>
    </row>
    <row r="12">
      <c r="A12" t="inlineStr"/>
    </row>
    <row r="13">
      <c r="A13" t="inlineStr">
        <is>
          <t>Trader-mark grammar (forwarded to the Rust parser):</t>
        </is>
      </c>
    </row>
    <row r="14">
      <c r="A14" t="inlineStr">
        <is>
          <t xml:space="preserve">  99.5            clean price (default)</t>
        </is>
      </c>
    </row>
    <row r="15">
      <c r="A15" t="inlineStr">
        <is>
          <t xml:space="preserve">  99.5C / 99.5D   clean / dirty</t>
        </is>
      </c>
    </row>
    <row r="16">
      <c r="A16" t="inlineStr">
        <is>
          <t xml:space="preserve">  99-16+          Treasury 32nds (+ = ½)</t>
        </is>
      </c>
    </row>
    <row r="17">
      <c r="A17" t="inlineStr">
        <is>
          <t xml:space="preserve">  4.65%@SA        yield + frequency</t>
        </is>
      </c>
    </row>
    <row r="18">
      <c r="A18" t="inlineStr">
        <is>
          <t xml:space="preserve">  +125bps@USD.SOFR   Z-spread (default) over benchmark</t>
        </is>
      </c>
    </row>
    <row r="19">
      <c r="A19" t="inlineStr">
        <is>
          <t xml:space="preserve">  125 OAS@USD.TSY    explicit spread family</t>
        </is>
      </c>
    </row>
    <row r="20">
      <c r="A20" t="inlineStr"/>
    </row>
    <row r="21">
      <c r="A21" t="inlineStr">
        <is>
          <t>Conventions:</t>
        </is>
      </c>
    </row>
    <row r="22">
      <c r="A22" t="inlineStr">
        <is>
          <t xml:space="preserve">  • Coupon rates: decimal (0.05 = 5%).</t>
        </is>
      </c>
    </row>
    <row r="23">
      <c r="A23" t="inlineStr">
        <is>
          <t xml:space="preserve">  • Spread bps:   bps (75 = 75 bp).</t>
        </is>
      </c>
    </row>
    <row r="24">
      <c r="A24" t="inlineStr">
        <is>
          <t xml:space="preserve">  • OAS volatility: decimal (0.01 = 1%).</t>
        </is>
      </c>
    </row>
    <row r="25">
      <c r="A25" t="inlineStr">
        <is>
          <t xml:space="preserve">  • Prices:       per 100 face.</t>
        </is>
      </c>
    </row>
    <row r="26">
      <c r="A26" t="inlineStr"/>
    </row>
    <row r="27">
      <c r="A27" t="inlineStr">
        <is>
          <t>If a formula returns #NAME? the add-in is not loaded.</t>
        </is>
      </c>
    </row>
    <row r="28">
      <c r="A28" t="inlineStr">
        <is>
          <t>If it returns a text string starting #ERROR: ... that's a structured FFI error;</t>
        </is>
      </c>
    </row>
    <row r="29">
      <c r="A29" t="inlineStr">
        <is>
          <t>the message tells you which argument was rejected.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Build bonds with =CX.BOND / .CALLABLE / .FRN / .ZERO</t>
        </is>
      </c>
    </row>
    <row r="3">
      <c r="A3" s="3" t="inlineStr">
        <is>
          <t>Identifier</t>
        </is>
      </c>
      <c r="B3" s="3" t="inlineStr">
        <is>
          <t>Type</t>
        </is>
      </c>
      <c r="C3" s="3" t="inlineStr">
        <is>
          <t>Coupon</t>
        </is>
      </c>
      <c r="D3" s="3" t="inlineStr">
        <is>
          <t>Maturity</t>
        </is>
      </c>
      <c r="E3" s="3" t="inlineStr">
        <is>
          <t>Issue</t>
        </is>
      </c>
      <c r="F3" s="3" t="inlineStr">
        <is>
          <t>Frequency</t>
        </is>
      </c>
      <c r="G3" s="3" t="inlineStr">
        <is>
          <t>Day count</t>
        </is>
      </c>
      <c r="H3" s="3" t="inlineStr">
        <is>
          <t>Handle</t>
        </is>
      </c>
    </row>
    <row r="4">
      <c r="A4" t="inlineStr">
        <is>
          <t>FIXED-5Y</t>
        </is>
      </c>
      <c r="B4" t="inlineStr">
        <is>
          <t>fixed_rate</t>
        </is>
      </c>
      <c r="C4" t="n">
        <v>0.045</v>
      </c>
      <c r="D4" s="4" t="n">
        <v>47498</v>
      </c>
      <c r="E4" s="4" t="n">
        <v>45672</v>
      </c>
      <c r="F4" t="inlineStr">
        <is>
          <t>SemiAnnual</t>
        </is>
      </c>
      <c r="G4" t="inlineStr">
        <is>
          <t>Thirty360US</t>
        </is>
      </c>
      <c r="H4">
        <f>CX.BOND(A4,C4,D4,E4,F4,G4)</f>
        <v/>
      </c>
    </row>
    <row r="5">
      <c r="A5" t="inlineStr">
        <is>
          <t>FIXED-10Y</t>
        </is>
      </c>
      <c r="B5" t="inlineStr">
        <is>
          <t>fixed_rate</t>
        </is>
      </c>
      <c r="C5" t="n">
        <v>0.05</v>
      </c>
      <c r="D5" s="4" t="n">
        <v>49324</v>
      </c>
      <c r="E5" s="4" t="n">
        <v>45672</v>
      </c>
      <c r="F5" t="inlineStr">
        <is>
          <t>SemiAnnual</t>
        </is>
      </c>
      <c r="G5" t="inlineStr">
        <is>
          <t>Thirty360US</t>
        </is>
      </c>
      <c r="H5">
        <f>CX.BOND(A5,C5,D5,E5,F5,G5)</f>
        <v/>
      </c>
    </row>
    <row r="6">
      <c r="A6" t="inlineStr">
        <is>
          <t>FIXED-30Y</t>
        </is>
      </c>
      <c r="B6" t="inlineStr">
        <is>
          <t>fixed_rate</t>
        </is>
      </c>
      <c r="C6" t="n">
        <v>0.052</v>
      </c>
      <c r="D6" s="4" t="n">
        <v>56629</v>
      </c>
      <c r="E6" s="4" t="n">
        <v>45672</v>
      </c>
      <c r="F6" t="inlineStr">
        <is>
          <t>SemiAnnual</t>
        </is>
      </c>
      <c r="G6" t="inlineStr">
        <is>
          <t>Thirty360US</t>
        </is>
      </c>
      <c r="H6">
        <f>CX.BOND(A6,C6,D6,E6,F6,G6)</f>
        <v/>
      </c>
    </row>
    <row r="7">
      <c r="A7" t="inlineStr">
        <is>
          <t>FRN-5Y-SOFR</t>
        </is>
      </c>
      <c r="B7" t="inlineStr">
        <is>
          <t>floating_rate</t>
        </is>
      </c>
      <c r="C7" t="n">
        <v>75</v>
      </c>
      <c r="D7" s="4" t="n">
        <v>47498</v>
      </c>
      <c r="E7" s="4" t="n">
        <v>45672</v>
      </c>
      <c r="F7" t="inlineStr">
        <is>
          <t>Quarterly</t>
        </is>
      </c>
      <c r="G7" t="inlineStr">
        <is>
          <t>Act360</t>
        </is>
      </c>
      <c r="H7">
        <f>CX.BOND.FRN(A7,C7,D7,E7,"sofr",F7,G7)</f>
        <v/>
      </c>
    </row>
    <row r="8">
      <c r="A8" t="inlineStr">
        <is>
          <t>ZCB-5Y</t>
        </is>
      </c>
      <c r="B8" t="inlineStr">
        <is>
          <t>zero_coupon</t>
        </is>
      </c>
      <c r="C8" t="inlineStr">
        <is>
          <t>—</t>
        </is>
      </c>
      <c r="D8" s="4" t="n">
        <v>47498</v>
      </c>
      <c r="E8" s="4" t="n">
        <v>45672</v>
      </c>
      <c r="F8" t="inlineStr">
        <is>
          <t>SemiAnnual</t>
        </is>
      </c>
      <c r="G8" t="inlineStr">
        <is>
          <t>ActActIcma</t>
        </is>
      </c>
      <c r="H8">
        <f>CX.BOND.ZERO(A8,D8,E8,F8,G8)</f>
        <v/>
      </c>
    </row>
    <row r="9">
      <c r="A9" t="inlineStr">
        <is>
          <t>CALL-10NC5</t>
        </is>
      </c>
      <c r="B9" t="inlineStr">
        <is>
          <t>callable</t>
        </is>
      </c>
      <c r="C9" t="n">
        <v>0.06</v>
      </c>
      <c r="D9" s="4" t="n">
        <v>49324</v>
      </c>
      <c r="E9" s="4" t="n">
        <v>45672</v>
      </c>
      <c r="F9" t="inlineStr">
        <is>
          <t>SemiAnnual</t>
        </is>
      </c>
      <c r="G9" t="inlineStr">
        <is>
          <t>Thirty360US</t>
        </is>
      </c>
      <c r="H9">
        <f>CX.BOND.CALLABLE(A9,C9,D9,E9,I12:I14,J12:J14,F9,"american",G9)</f>
        <v/>
      </c>
    </row>
    <row r="11">
      <c r="I11" s="5" t="inlineStr">
        <is>
          <t>Call date</t>
        </is>
      </c>
      <c r="J11" s="5" t="inlineStr">
        <is>
          <t>Call price</t>
        </is>
      </c>
    </row>
    <row r="12">
      <c r="I12" s="4" t="n">
        <v>47498</v>
      </c>
      <c r="J12" t="n">
        <v>102</v>
      </c>
    </row>
    <row r="13">
      <c r="I13" s="4" t="n">
        <v>48228</v>
      </c>
      <c r="J13" t="n">
        <v>101</v>
      </c>
    </row>
    <row r="14">
      <c r="I14" s="4" t="n">
        <v>48959</v>
      </c>
      <c r="J14" t="n">
        <v>100</v>
      </c>
    </row>
    <row r="16">
      <c r="A16" s="2" t="inlineStr">
        <is>
          <t>Mark-driven pricing — change the mark and watch every column recompute</t>
        </is>
      </c>
    </row>
    <row r="18">
      <c r="A18" s="3" t="inlineStr">
        <is>
          <t>Bond</t>
        </is>
      </c>
      <c r="B18" s="3" t="inlineStr">
        <is>
          <t>Settlement</t>
        </is>
      </c>
      <c r="C18" s="3" t="inlineStr">
        <is>
          <t>Mark</t>
        </is>
      </c>
      <c r="D18" s="3" t="inlineStr">
        <is>
          <t>Clean</t>
        </is>
      </c>
      <c r="E18" s="3" t="inlineStr">
        <is>
          <t>Dirty</t>
        </is>
      </c>
      <c r="F18" s="3" t="inlineStr">
        <is>
          <t>Accrued</t>
        </is>
      </c>
      <c r="G18" s="3" t="inlineStr">
        <is>
          <t>YTM (%)</t>
        </is>
      </c>
      <c r="H18" s="3" t="inlineStr">
        <is>
          <t>Mod Dur</t>
        </is>
      </c>
      <c r="I18" s="3" t="inlineStr">
        <is>
          <t>Mac Dur</t>
        </is>
      </c>
      <c r="J18" s="3" t="inlineStr">
        <is>
          <t>Convexity</t>
        </is>
      </c>
      <c r="K18" s="3" t="inlineStr">
        <is>
          <t>DV01</t>
        </is>
      </c>
    </row>
    <row r="19">
      <c r="A19">
        <f>A4</f>
        <v/>
      </c>
      <c r="B19" s="4" t="n">
        <v>46303</v>
      </c>
      <c r="C19" t="inlineStr">
        <is>
          <t>99.5C</t>
        </is>
      </c>
      <c r="D19">
        <f>CX.PRICE(H4,B19,C19)</f>
        <v/>
      </c>
      <c r="E19">
        <f>CX.PRICE(H4,B19,C19,,,"dirty")</f>
        <v/>
      </c>
      <c r="F19">
        <f>CX.PRICE(H4,B19,C19,,,"accrued")</f>
        <v/>
      </c>
      <c r="G19">
        <f>CX.PRICE(H4,B19,C19,,,"ytm")</f>
        <v/>
      </c>
      <c r="H19">
        <f>CX.RISK(H4,B19,C19,,"mod_dur")</f>
        <v/>
      </c>
      <c r="I19">
        <f>CX.RISK(H4,B19,C19,,"mac_dur")</f>
        <v/>
      </c>
      <c r="J19">
        <f>CX.RISK(H4,B19,C19,,"convexity")</f>
        <v/>
      </c>
      <c r="K19">
        <f>CX.RISK(H4,B19,C19,,"dv01")</f>
        <v/>
      </c>
    </row>
    <row r="20">
      <c r="A20">
        <f>A5</f>
        <v/>
      </c>
      <c r="B20" s="4" t="n">
        <v>46303</v>
      </c>
      <c r="C20" t="inlineStr">
        <is>
          <t>99.5C</t>
        </is>
      </c>
      <c r="D20">
        <f>CX.PRICE(H5,B20,C20)</f>
        <v/>
      </c>
      <c r="E20">
        <f>CX.PRICE(H5,B20,C20,,,"dirty")</f>
        <v/>
      </c>
      <c r="F20">
        <f>CX.PRICE(H5,B20,C20,,,"accrued")</f>
        <v/>
      </c>
      <c r="G20">
        <f>CX.PRICE(H5,B20,C20,,,"ytm")</f>
        <v/>
      </c>
      <c r="H20">
        <f>CX.RISK(H5,B20,C20,,"mod_dur")</f>
        <v/>
      </c>
      <c r="I20">
        <f>CX.RISK(H5,B20,C20,,"mac_dur")</f>
        <v/>
      </c>
      <c r="J20">
        <f>CX.RISK(H5,B20,C20,,"convexity")</f>
        <v/>
      </c>
      <c r="K20">
        <f>CX.RISK(H5,B20,C20,,"dv01")</f>
        <v/>
      </c>
    </row>
    <row r="21">
      <c r="A21">
        <f>A6</f>
        <v/>
      </c>
      <c r="B21" s="4" t="n">
        <v>46303</v>
      </c>
      <c r="C21" t="inlineStr">
        <is>
          <t>99.5C</t>
        </is>
      </c>
      <c r="D21">
        <f>CX.PRICE(H6,B21,C21)</f>
        <v/>
      </c>
      <c r="E21">
        <f>CX.PRICE(H6,B21,C21,,,"dirty")</f>
        <v/>
      </c>
      <c r="F21">
        <f>CX.PRICE(H6,B21,C21,,,"accrued")</f>
        <v/>
      </c>
      <c r="G21">
        <f>CX.PRICE(H6,B21,C21,,,"ytm")</f>
        <v/>
      </c>
      <c r="H21">
        <f>CX.RISK(H6,B21,C21,,"mod_dur")</f>
        <v/>
      </c>
      <c r="I21">
        <f>CX.RISK(H6,B21,C21,,"mac_dur")</f>
        <v/>
      </c>
      <c r="J21">
        <f>CX.RISK(H6,B21,C21,,"convexity")</f>
        <v/>
      </c>
      <c r="K21">
        <f>CX.RISK(H6,B21,C21,,"dv01")</f>
        <v/>
      </c>
    </row>
    <row r="22">
      <c r="A22" s="6" t="inlineStr">
        <is>
          <t>Try changing the mark in C19:C21 — '99.5C', '4.65%@SA', or '99-16+' all work. The grid above recomputes each column.</t>
        </is>
      </c>
    </row>
    <row r="24">
      <c r="A24" s="2" t="inlineStr">
        <is>
          <t>Cashflows — =CX.CASHFLOWS(bond, settle)</t>
        </is>
      </c>
    </row>
    <row r="25">
      <c r="A25">
        <f>CX.CASHFLOWS(H5,B20)</f>
        <v/>
      </c>
    </row>
    <row r="26">
      <c r="A26" s="6" t="inlineStr">
        <is>
          <t>Spills a 3-column grid: date, amount per 100 face, kind (coupon | redemption | coupon-and-redemption | fee).</t>
        </is>
      </c>
    </row>
  </sheetData>
  <mergeCells count="5">
    <mergeCell ref="A24:K24"/>
    <mergeCell ref="A16:K16"/>
    <mergeCell ref="A22:F22"/>
    <mergeCell ref="A26:F2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Discrete curve — =CX.CURVE</t>
        </is>
      </c>
    </row>
    <row r="3">
      <c r="A3" s="3" t="inlineStr">
        <is>
          <t>Tenor (yrs)</t>
        </is>
      </c>
      <c r="B3" s="3" t="inlineStr">
        <is>
          <t>Zero rate (decimal)</t>
        </is>
      </c>
    </row>
    <row r="4">
      <c r="A4" t="n">
        <v>0.25</v>
      </c>
      <c r="B4" t="n">
        <v>0.0525</v>
      </c>
    </row>
    <row r="5">
      <c r="A5" t="n">
        <v>0.5</v>
      </c>
      <c r="B5" t="n">
        <v>0.053</v>
      </c>
    </row>
    <row r="6">
      <c r="A6" t="n">
        <v>1</v>
      </c>
      <c r="B6" t="n">
        <v>0.05</v>
      </c>
    </row>
    <row r="7">
      <c r="A7" t="n">
        <v>2</v>
      </c>
      <c r="B7" t="n">
        <v>0.047</v>
      </c>
    </row>
    <row r="8">
      <c r="A8" t="n">
        <v>5</v>
      </c>
      <c r="B8" t="n">
        <v>0.0445</v>
      </c>
    </row>
    <row r="9">
      <c r="A9" t="n">
        <v>10</v>
      </c>
      <c r="B9" t="n">
        <v>0.044</v>
      </c>
    </row>
    <row r="10">
      <c r="A10" t="n">
        <v>30</v>
      </c>
      <c r="B10" t="n">
        <v>0.0455</v>
      </c>
    </row>
    <row r="12">
      <c r="A12" t="inlineStr">
        <is>
          <t>Curve handle:</t>
        </is>
      </c>
      <c r="B12">
        <f>CX.CURVE("USD.SOFR.DEMO",TODAY(),A4:A10,B4:B10,"zero_rate","linear","Act365Fixed","Continuous")</f>
        <v/>
      </c>
    </row>
    <row r="14">
      <c r="A14" s="2" t="inlineStr">
        <is>
          <t>Bootstrap — =CX.CURVE.BOOTSTRAP</t>
        </is>
      </c>
    </row>
    <row r="16">
      <c r="A16" s="3" t="inlineStr">
        <is>
          <t>Kind</t>
        </is>
      </c>
      <c r="B16" s="3" t="inlineStr">
        <is>
          <t>Tenor</t>
        </is>
      </c>
      <c r="C16" s="3" t="inlineStr">
        <is>
          <t>Rate (decimal)</t>
        </is>
      </c>
    </row>
    <row r="17">
      <c r="A17" t="inlineStr">
        <is>
          <t>deposit</t>
        </is>
      </c>
      <c r="B17" t="n">
        <v>0.25</v>
      </c>
      <c r="C17" t="n">
        <v>0.0525</v>
      </c>
    </row>
    <row r="18">
      <c r="A18" t="inlineStr">
        <is>
          <t>deposit</t>
        </is>
      </c>
      <c r="B18" t="n">
        <v>0.5</v>
      </c>
      <c r="C18" t="n">
        <v>0.053</v>
      </c>
    </row>
    <row r="19">
      <c r="A19" t="inlineStr">
        <is>
          <t>swap</t>
        </is>
      </c>
      <c r="B19" t="n">
        <v>2</v>
      </c>
      <c r="C19" t="n">
        <v>0.047</v>
      </c>
    </row>
    <row r="20">
      <c r="A20" t="inlineStr">
        <is>
          <t>swap</t>
        </is>
      </c>
      <c r="B20" t="n">
        <v>5</v>
      </c>
      <c r="C20" t="n">
        <v>0.0445</v>
      </c>
    </row>
    <row r="21">
      <c r="A21" t="inlineStr">
        <is>
          <t>swap</t>
        </is>
      </c>
      <c r="B21" t="n">
        <v>10</v>
      </c>
      <c r="C21" t="n">
        <v>0.044</v>
      </c>
    </row>
    <row r="22">
      <c r="A22" t="inlineStr">
        <is>
          <t>swap</t>
        </is>
      </c>
      <c r="B22" t="n">
        <v>30</v>
      </c>
      <c r="C22" t="n">
        <v>0.0455</v>
      </c>
    </row>
    <row r="24">
      <c r="A24" t="inlineStr">
        <is>
          <t>Bootstrapped:</t>
        </is>
      </c>
      <c r="B24">
        <f>CX.CURVE.BOOTSTRAP("USD.SOFR.BOOT",TODAY(),A17:A22,B17:B22,C17:C22,"global_fit","linear","Act360")</f>
        <v/>
      </c>
    </row>
    <row r="26">
      <c r="A26" s="2" t="inlineStr">
        <is>
          <t>Read points off the curve — =CX.CURVE.QUERY</t>
        </is>
      </c>
    </row>
    <row r="28">
      <c r="A28" s="3" t="inlineStr">
        <is>
          <t>Tenor</t>
        </is>
      </c>
      <c r="B28" s="3" t="inlineStr">
        <is>
          <t>Zero (%)</t>
        </is>
      </c>
      <c r="C28" s="3" t="inlineStr">
        <is>
          <t>DF</t>
        </is>
      </c>
      <c r="D28" s="3" t="inlineStr">
        <is>
          <t>1Y forward (%)</t>
        </is>
      </c>
    </row>
    <row r="29">
      <c r="A29" t="n">
        <v>0.25</v>
      </c>
      <c r="B29">
        <f>CX.CURVE.QUERY(B12,A29,"zero")*100</f>
        <v/>
      </c>
      <c r="C29">
        <f>CX.CURVE.QUERY(B12,A29,"df")</f>
        <v/>
      </c>
      <c r="D29">
        <f>CX.CURVE.QUERY(B12,A29,"forward",A29+1)*100</f>
        <v/>
      </c>
    </row>
    <row r="30">
      <c r="A30" t="n">
        <v>0.5</v>
      </c>
      <c r="B30">
        <f>CX.CURVE.QUERY(B12,A30,"zero")*100</f>
        <v/>
      </c>
      <c r="C30">
        <f>CX.CURVE.QUERY(B12,A30,"df")</f>
        <v/>
      </c>
      <c r="D30">
        <f>CX.CURVE.QUERY(B12,A30,"forward",A30+1)*100</f>
        <v/>
      </c>
    </row>
    <row r="31">
      <c r="A31" t="n">
        <v>1</v>
      </c>
      <c r="B31">
        <f>CX.CURVE.QUERY(B12,A31,"zero")*100</f>
        <v/>
      </c>
      <c r="C31">
        <f>CX.CURVE.QUERY(B12,A31,"df")</f>
        <v/>
      </c>
      <c r="D31">
        <f>CX.CURVE.QUERY(B12,A31,"forward",A31+1)*100</f>
        <v/>
      </c>
    </row>
    <row r="32">
      <c r="A32" t="n">
        <v>2</v>
      </c>
      <c r="B32">
        <f>CX.CURVE.QUERY(B12,A32,"zero")*100</f>
        <v/>
      </c>
      <c r="C32">
        <f>CX.CURVE.QUERY(B12,A32,"df")</f>
        <v/>
      </c>
      <c r="D32">
        <f>CX.CURVE.QUERY(B12,A32,"forward",A32+1)*100</f>
        <v/>
      </c>
    </row>
    <row r="33">
      <c r="A33" t="n">
        <v>3</v>
      </c>
      <c r="B33">
        <f>CX.CURVE.QUERY(B12,A33,"zero")*100</f>
        <v/>
      </c>
      <c r="C33">
        <f>CX.CURVE.QUERY(B12,A33,"df")</f>
        <v/>
      </c>
      <c r="D33">
        <f>CX.CURVE.QUERY(B12,A33,"forward",A33+1)*100</f>
        <v/>
      </c>
    </row>
    <row r="34">
      <c r="A34" t="n">
        <v>5</v>
      </c>
      <c r="B34">
        <f>CX.CURVE.QUERY(B12,A34,"zero")*100</f>
        <v/>
      </c>
      <c r="C34">
        <f>CX.CURVE.QUERY(B12,A34,"df")</f>
        <v/>
      </c>
      <c r="D34">
        <f>CX.CURVE.QUERY(B12,A34,"forward",A34+1)*100</f>
        <v/>
      </c>
    </row>
    <row r="35">
      <c r="A35" t="n">
        <v>7</v>
      </c>
      <c r="B35">
        <f>CX.CURVE.QUERY(B12,A35,"zero")*100</f>
        <v/>
      </c>
      <c r="C35">
        <f>CX.CURVE.QUERY(B12,A35,"df")</f>
        <v/>
      </c>
      <c r="D35">
        <f>CX.CURVE.QUERY(B12,A35,"forward",A35+1)*100</f>
        <v/>
      </c>
    </row>
    <row r="36">
      <c r="A36" t="n">
        <v>10</v>
      </c>
      <c r="B36">
        <f>CX.CURVE.QUERY(B12,A36,"zero")*100</f>
        <v/>
      </c>
      <c r="C36">
        <f>CX.CURVE.QUERY(B12,A36,"df")</f>
        <v/>
      </c>
      <c r="D36">
        <f>CX.CURVE.QUERY(B12,A36,"forward",A36+1)*100</f>
        <v/>
      </c>
    </row>
    <row r="37">
      <c r="A37" t="n">
        <v>15</v>
      </c>
      <c r="B37">
        <f>CX.CURVE.QUERY(B12,A37,"zero")*100</f>
        <v/>
      </c>
      <c r="C37">
        <f>CX.CURVE.QUERY(B12,A37,"df")</f>
        <v/>
      </c>
      <c r="D37">
        <f>CX.CURVE.QUERY(B12,A37,"forward",A37+1)*100</f>
        <v/>
      </c>
    </row>
    <row r="38">
      <c r="A38" t="n">
        <v>20</v>
      </c>
      <c r="B38">
        <f>CX.CURVE.QUERY(B12,A38,"zero")*100</f>
        <v/>
      </c>
      <c r="C38">
        <f>CX.CURVE.QUERY(B12,A38,"df")</f>
        <v/>
      </c>
      <c r="D38">
        <f>CX.CURVE.QUERY(B12,A38,"forward",A38+1)*100</f>
        <v/>
      </c>
    </row>
    <row r="39">
      <c r="A39" t="n">
        <v>30</v>
      </c>
      <c r="B39">
        <f>CX.CURVE.QUERY(B12,A39,"zero")*100</f>
        <v/>
      </c>
      <c r="C39">
        <f>CX.CURVE.QUERY(B12,A39,"df")</f>
        <v/>
      </c>
      <c r="D39">
        <f>CX.CURVE.QUERY(B12,A39,"forward",A39+1)*100</f>
        <v/>
      </c>
    </row>
    <row r="41">
      <c r="A41" s="6" t="inlineStr">
        <is>
          <t>Plot column B against column A for the zero curve, column D for the 1Y forward curve overlay.</t>
        </is>
      </c>
    </row>
  </sheetData>
  <mergeCells count="4">
    <mergeCell ref="A26:F26"/>
    <mergeCell ref="A14:F14"/>
    <mergeCell ref="A1:F1"/>
    <mergeCell ref="A41:F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Bond × discount curve × mark → spreads</t>
        </is>
      </c>
    </row>
    <row r="2">
      <c r="A2" s="6" t="inlineStr">
        <is>
          <t>Reuses the FIXED-10Y handle from the Bonds sheet and the discrete curve from Curves. G-spread requires its own government curve — built below.</t>
        </is>
      </c>
    </row>
    <row r="4">
      <c r="A4" t="inlineStr">
        <is>
          <t>Bond (10y handle):</t>
        </is>
      </c>
      <c r="B4">
        <f>Bonds!H5</f>
        <v/>
      </c>
    </row>
    <row r="5">
      <c r="A5" t="inlineStr">
        <is>
          <t>Discount curve (swap):</t>
        </is>
      </c>
      <c r="B5">
        <f>Curves!B12</f>
        <v/>
      </c>
    </row>
    <row r="6">
      <c r="A6" t="inlineStr">
        <is>
          <t>Settlement:</t>
        </is>
      </c>
      <c r="B6" s="4" t="n">
        <v>46303</v>
      </c>
    </row>
    <row r="7">
      <c r="A7" t="inlineStr">
        <is>
          <t>Mark:</t>
        </is>
      </c>
      <c r="B7" t="inlineStr">
        <is>
          <t>99.5C</t>
        </is>
      </c>
    </row>
    <row r="9">
      <c r="A9" s="3" t="inlineStr">
        <is>
          <t>Spread</t>
        </is>
      </c>
      <c r="B9" s="3" t="inlineStr">
        <is>
          <t>bps</t>
        </is>
      </c>
      <c r="C9" s="3" t="inlineStr">
        <is>
          <t>Spread DV01</t>
        </is>
      </c>
      <c r="D9" s="3" t="inlineStr">
        <is>
          <t>Notes</t>
        </is>
      </c>
    </row>
    <row r="10">
      <c r="A10" t="inlineStr">
        <is>
          <t>Z-spread</t>
        </is>
      </c>
      <c r="B10">
        <f>CX.SPREAD(B4,B5,B6,B7,"Z")</f>
        <v/>
      </c>
      <c r="C10">
        <f>INDEX(CX.SPREAD(B4,B5,B6,B7,"Z",,"grid"),2,2)</f>
        <v/>
      </c>
      <c r="D10" t="inlineStr">
        <is>
          <t>Constant spread over the spot discount curve.</t>
        </is>
      </c>
    </row>
    <row r="11">
      <c r="A11" t="inlineStr">
        <is>
          <t>I-spread</t>
        </is>
      </c>
      <c r="B11">
        <f>CX.SPREAD(B4,B5,B6,B7,"I")</f>
        <v/>
      </c>
      <c r="D11" t="inlineStr">
        <is>
          <t>Yield − interpolated swap rate at maturity.</t>
        </is>
      </c>
    </row>
    <row r="12">
      <c r="A12" t="inlineStr">
        <is>
          <t>ASW (par)</t>
        </is>
      </c>
      <c r="B12">
        <f>CX.SPREAD(B4,B5,B6,B7,"ASW")</f>
        <v/>
      </c>
      <c r="D12" t="inlineStr">
        <is>
          <t>Par-par asset swap spread.</t>
        </is>
      </c>
    </row>
    <row r="13">
      <c r="A13" t="inlineStr">
        <is>
          <t>ASW (proceeds)</t>
        </is>
      </c>
      <c r="B13">
        <f>CX.SPREAD(B4,B5,B6,B7,"ASW_PROC")</f>
        <v/>
      </c>
      <c r="D13" t="inlineStr">
        <is>
          <t>Proceeds asset swap spread.</t>
        </is>
      </c>
    </row>
    <row r="15">
      <c r="A15" s="2" t="inlineStr">
        <is>
          <t>Government spreads use actual securities</t>
        </is>
      </c>
    </row>
    <row r="17">
      <c r="A17" s="6" t="inlineStr">
        <is>
          <t>CX.SPREAD and the Spread Ticket cannot supply government benchmark securities. Use CX.LIBRARY.RANGE with a full government_spread request and actual cash security quotes/calendars. Government zero rates are not bond yields.</t>
        </is>
      </c>
    </row>
  </sheetData>
  <mergeCells count="4">
    <mergeCell ref="A2:F2"/>
    <mergeCell ref="A17:F17"/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2" t="inlineStr">
        <is>
          <t>Parallel-shift scenarios via mark text</t>
        </is>
      </c>
    </row>
    <row r="2">
      <c r="A2" s="6" t="inlineStr">
        <is>
          <t>Hold the bond fixed; bump the YTM by N bps and reprice. Each row computes the yield mark as &lt;base + Δ&gt;%@SA — the same path the ScenarioForm uses internally.</t>
        </is>
      </c>
    </row>
    <row r="4">
      <c r="A4" t="inlineStr">
        <is>
          <t>Bond (10y handle):</t>
        </is>
      </c>
      <c r="B4">
        <f>Bonds!H5</f>
        <v/>
      </c>
    </row>
    <row r="5">
      <c r="A5" t="inlineStr">
        <is>
          <t>Settlement:</t>
        </is>
      </c>
      <c r="B5" s="4" t="n">
        <v>46303</v>
      </c>
    </row>
    <row r="6">
      <c r="A6" t="inlineStr">
        <is>
          <t>Base mark:</t>
        </is>
      </c>
      <c r="B6" t="inlineStr">
        <is>
          <t>99.5C</t>
        </is>
      </c>
    </row>
    <row r="7">
      <c r="A7" t="inlineStr">
        <is>
          <t>Base YTM (%):</t>
        </is>
      </c>
      <c r="B7">
        <f>CX.PRICE(B4,B5,B6,,,"ytm")</f>
        <v/>
      </c>
    </row>
    <row r="8">
      <c r="A8" t="inlineStr">
        <is>
          <t>Base clean:</t>
        </is>
      </c>
      <c r="B8">
        <f>CX.PRICE(B4,B5,B6)</f>
        <v/>
      </c>
    </row>
    <row r="10">
      <c r="A10" s="3" t="inlineStr">
        <is>
          <t>Shift (bps)</t>
        </is>
      </c>
      <c r="B10" s="3" t="inlineStr">
        <is>
          <t>Bumped yield (%)</t>
        </is>
      </c>
      <c r="C10" s="3" t="inlineStr">
        <is>
          <t>Bumped mark</t>
        </is>
      </c>
      <c r="D10" s="3" t="inlineStr">
        <is>
          <t>Clean</t>
        </is>
      </c>
      <c r="E10" s="3" t="inlineStr">
        <is>
          <t>ΔP (clean)</t>
        </is>
      </c>
    </row>
    <row r="11">
      <c r="A11" t="n">
        <v>-100</v>
      </c>
      <c r="B11">
        <f>$B$7+A11/100</f>
        <v/>
      </c>
      <c r="C11">
        <f>TEXT(B11,"0.00000000")&amp;"%@SA"</f>
        <v/>
      </c>
      <c r="D11">
        <f>CX.PRICE($B$4,$B$5,C11)</f>
        <v/>
      </c>
      <c r="E11">
        <f>D11-$B$8</f>
        <v/>
      </c>
    </row>
    <row r="12">
      <c r="A12" t="n">
        <v>-50</v>
      </c>
      <c r="B12">
        <f>$B$7+A12/100</f>
        <v/>
      </c>
      <c r="C12">
        <f>TEXT(B12,"0.00000000")&amp;"%@SA"</f>
        <v/>
      </c>
      <c r="D12">
        <f>CX.PRICE($B$4,$B$5,C12)</f>
        <v/>
      </c>
      <c r="E12">
        <f>D12-$B$8</f>
        <v/>
      </c>
    </row>
    <row r="13">
      <c r="A13" t="n">
        <v>-25</v>
      </c>
      <c r="B13">
        <f>$B$7+A13/100</f>
        <v/>
      </c>
      <c r="C13">
        <f>TEXT(B13,"0.00000000")&amp;"%@SA"</f>
        <v/>
      </c>
      <c r="D13">
        <f>CX.PRICE($B$4,$B$5,C13)</f>
        <v/>
      </c>
      <c r="E13">
        <f>D13-$B$8</f>
        <v/>
      </c>
    </row>
    <row r="14">
      <c r="A14" t="n">
        <v>-10</v>
      </c>
      <c r="B14">
        <f>$B$7+A14/100</f>
        <v/>
      </c>
      <c r="C14">
        <f>TEXT(B14,"0.00000000")&amp;"%@SA"</f>
        <v/>
      </c>
      <c r="D14">
        <f>CX.PRICE($B$4,$B$5,C14)</f>
        <v/>
      </c>
      <c r="E14">
        <f>D14-$B$8</f>
        <v/>
      </c>
    </row>
    <row r="15">
      <c r="A15" t="n">
        <v>0</v>
      </c>
      <c r="B15">
        <f>$B$7+A15/100</f>
        <v/>
      </c>
      <c r="C15">
        <f>TEXT(B15,"0.00000000")&amp;"%@SA"</f>
        <v/>
      </c>
      <c r="D15">
        <f>CX.PRICE($B$4,$B$5,C15)</f>
        <v/>
      </c>
      <c r="E15">
        <f>D15-$B$8</f>
        <v/>
      </c>
    </row>
    <row r="16">
      <c r="A16" t="n">
        <v>10</v>
      </c>
      <c r="B16">
        <f>$B$7+A16/100</f>
        <v/>
      </c>
      <c r="C16">
        <f>TEXT(B16,"0.00000000")&amp;"%@SA"</f>
        <v/>
      </c>
      <c r="D16">
        <f>CX.PRICE($B$4,$B$5,C16)</f>
        <v/>
      </c>
      <c r="E16">
        <f>D16-$B$8</f>
        <v/>
      </c>
    </row>
    <row r="17">
      <c r="A17" t="n">
        <v>25</v>
      </c>
      <c r="B17">
        <f>$B$7+A17/100</f>
        <v/>
      </c>
      <c r="C17">
        <f>TEXT(B17,"0.00000000")&amp;"%@SA"</f>
        <v/>
      </c>
      <c r="D17">
        <f>CX.PRICE($B$4,$B$5,C17)</f>
        <v/>
      </c>
      <c r="E17">
        <f>D17-$B$8</f>
        <v/>
      </c>
    </row>
    <row r="18">
      <c r="A18" t="n">
        <v>50</v>
      </c>
      <c r="B18">
        <f>$B$7+A18/100</f>
        <v/>
      </c>
      <c r="C18">
        <f>TEXT(B18,"0.00000000")&amp;"%@SA"</f>
        <v/>
      </c>
      <c r="D18">
        <f>CX.PRICE($B$4,$B$5,C18)</f>
        <v/>
      </c>
      <c r="E18">
        <f>D18-$B$8</f>
        <v/>
      </c>
    </row>
    <row r="19">
      <c r="A19" t="n">
        <v>100</v>
      </c>
      <c r="B19">
        <f>$B$7+A19/100</f>
        <v/>
      </c>
      <c r="C19">
        <f>TEXT(B19,"0.00000000")&amp;"%@SA"</f>
        <v/>
      </c>
      <c r="D19">
        <f>CX.PRICE($B$4,$B$5,C19)</f>
        <v/>
      </c>
      <c r="E19">
        <f>D19-$B$8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JSON wire-format schemas — =CX.SCHEMA(name)</t>
        </is>
      </c>
    </row>
    <row r="2">
      <c r="A2" s="6" t="inlineStr">
        <is>
          <t>Each cell pulls the schema from the FFI directly. Fold a row to read.</t>
        </is>
      </c>
    </row>
    <row r="4" ht="110" customHeight="1">
      <c r="A4" s="5" t="inlineStr">
        <is>
          <t>Mark</t>
        </is>
      </c>
      <c r="B4" s="7">
        <f>CX.SCHEMA("Mark")</f>
        <v/>
      </c>
    </row>
    <row r="5" ht="110" customHeight="1">
      <c r="A5" s="5" t="inlineStr">
        <is>
          <t>BondSpec</t>
        </is>
      </c>
      <c r="B5" s="7">
        <f>CX.SCHEMA("BondSpec")</f>
        <v/>
      </c>
    </row>
    <row r="6" ht="110" customHeight="1">
      <c r="A6" s="5" t="inlineStr">
        <is>
          <t>CurveSpec</t>
        </is>
      </c>
      <c r="B6" s="7">
        <f>CX.SCHEMA("CurveSpec")</f>
        <v/>
      </c>
    </row>
    <row r="7" ht="110" customHeight="1">
      <c r="A7" s="5" t="inlineStr">
        <is>
          <t>PricingRequest</t>
        </is>
      </c>
      <c r="B7" s="7">
        <f>CX.SCHEMA("PricingRequest")</f>
        <v/>
      </c>
    </row>
    <row r="8" ht="110" customHeight="1">
      <c r="A8" s="5" t="inlineStr">
        <is>
          <t>PricingResponse</t>
        </is>
      </c>
      <c r="B8" s="7">
        <f>CX.SCHEMA("PricingResponse")</f>
        <v/>
      </c>
    </row>
    <row r="9" ht="110" customHeight="1">
      <c r="A9" s="5" t="inlineStr">
        <is>
          <t>RiskRequest</t>
        </is>
      </c>
      <c r="B9" s="7">
        <f>CX.SCHEMA("RiskRequest")</f>
        <v/>
      </c>
    </row>
    <row r="10" ht="110" customHeight="1">
      <c r="A10" s="5" t="inlineStr">
        <is>
          <t>RiskResponse</t>
        </is>
      </c>
      <c r="B10" s="7">
        <f>CX.SCHEMA("RiskResponse")</f>
        <v/>
      </c>
    </row>
    <row r="11" ht="110" customHeight="1">
      <c r="A11" s="5" t="inlineStr">
        <is>
          <t>SpreadRequest</t>
        </is>
      </c>
      <c r="B11" s="7">
        <f>CX.SCHEMA("SpreadRequest")</f>
        <v/>
      </c>
    </row>
    <row r="12" ht="110" customHeight="1">
      <c r="A12" s="5" t="inlineStr">
        <is>
          <t>SpreadResponse</t>
        </is>
      </c>
      <c r="B12" s="7">
        <f>CX.SCHEMA("SpreadResponse")</f>
        <v/>
      </c>
    </row>
    <row r="13" ht="110" customHeight="1">
      <c r="A13" s="5" t="inlineStr">
        <is>
          <t>CashflowRequest</t>
        </is>
      </c>
      <c r="B13" s="7">
        <f>CX.SCHEMA("CashflowRequest")</f>
        <v/>
      </c>
    </row>
    <row r="14" ht="110" customHeight="1">
      <c r="A14" s="5" t="inlineStr">
        <is>
          <t>CashflowResponse</t>
        </is>
      </c>
      <c r="B14" s="7">
        <f>CX.SCHEMA("CashflowResponse")</f>
        <v/>
      </c>
    </row>
    <row r="15" ht="110" customHeight="1">
      <c r="A15" s="5" t="inlineStr">
        <is>
          <t>CurveQueryRequest</t>
        </is>
      </c>
      <c r="B15" s="7">
        <f>CX.SCHEMA("CurveQueryRequest")</f>
        <v/>
      </c>
    </row>
    <row r="16" ht="110" customHeight="1">
      <c r="A16" s="5" t="inlineStr">
        <is>
          <t>CurveQueryResponse</t>
        </is>
      </c>
      <c r="B16" s="7">
        <f>CX.SCHEMA("CurveQueryResponse")</f>
        <v/>
      </c>
    </row>
  </sheetData>
  <mergeCells count="2">
    <mergeCell ref="A2:F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2026-10-08T06:04:17Z</dcterms:created>
  <dcterms:modified xmlns:dcterms="http://purl.org/dc/terms/" xmlns:xsi="http://www.w3.org/2001/XMLSchema-instance" xsi:type="dcterms:W3CDTF">2026-10-08T06:04:17Z</dcterms:modified>
</cp:coreProperties>
</file>