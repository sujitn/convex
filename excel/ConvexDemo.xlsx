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Curves" sheetId="2" r:id="rId2"/>
    <sheet name="Bonds" sheetId="3" r:id="rId3"/>
    <sheet name="Pricing" sheetId="4" r:id="rId4"/>
    <sheet name="Risk" sheetId="5" r:id="rId5"/>
    <sheet name="Spreads" sheetId="6" r:id="rId6"/>
    <sheet name="Bootstrap" sheetId="7" r:id="rId7"/>
    <sheet name="Reference" sheetId="8" r:id="rId8"/>
  </sheets>
  <calcPr calcId="124519" fullCalcOnLoad="1"/>
</workbook>
</file>

<file path=xl/sharedStrings.xml><?xml version="1.0" encoding="utf-8"?>
<sst xmlns="http://schemas.openxmlformats.org/spreadsheetml/2006/main" count="208" uniqueCount="176">
  <si>
    <t>Convex Fixed Income Analytics - Excel Add-in Demo</t>
  </si>
  <si>
    <t>This workbook demonstrates all capabilities of the Convex Excel Add-in.</t>
  </si>
  <si>
    <t>Yellow cells = inputs you can modify. Green cells = formula results.</t>
  </si>
  <si>
    <t>Quick Start - Test Add-in Loading</t>
  </si>
  <si>
    <t>Version:</t>
  </si>
  <si>
    <t>Load Status:</t>
  </si>
  <si>
    <t>Function Categories</t>
  </si>
  <si>
    <t>Category</t>
  </si>
  <si>
    <t>Functions</t>
  </si>
  <si>
    <t>Curves</t>
  </si>
  <si>
    <t>CX.CURVE, CX.CURVE.ZERO, CX.CURVE.DISCOUNT, CX.CURVE.FORWARD</t>
  </si>
  <si>
    <t>Bonds</t>
  </si>
  <si>
    <t>CX.BOND, CX.BOND.CORP, CX.BOND.TSY, CX.BOND.CALLABLE</t>
  </si>
  <si>
    <t>Pricing</t>
  </si>
  <si>
    <t>CX.YIELD, CX.PRICE, CX.DIRTY.PRICE, CX.BOND.ACCRUED</t>
  </si>
  <si>
    <t>Risk Metrics</t>
  </si>
  <si>
    <t>CX.DURATION, CX.DURATION.MAC, CX.CONVEXITY, CX.DV01</t>
  </si>
  <si>
    <t>Spreads</t>
  </si>
  <si>
    <t>CX.ZSPREAD, CX.ISPREAD, CX.GSPREAD, CX.ASW</t>
  </si>
  <si>
    <t>Bootstrapping</t>
  </si>
  <si>
    <t>CX.BOOTSTRAP, CX.BOOTSTRAP.OIS, CX.BOOTSTRAP.MIXED</t>
  </si>
  <si>
    <t>Note: All rate inputs/outputs are in percentage (e.g., 4.5 for 4.5%)</t>
  </si>
  <si>
    <t>Handles are returned as #CX#100, #CX#101, etc.</t>
  </si>
  <si>
    <t>Yield Curve Construction &amp; Queries</t>
  </si>
  <si>
    <t>1. Input Data</t>
  </si>
  <si>
    <t>Reference Date:</t>
  </si>
  <si>
    <t>Curve Name:</t>
  </si>
  <si>
    <t>USD.GOVT</t>
  </si>
  <si>
    <t>Tenor (Years)</t>
  </si>
  <si>
    <t>Zero Rate (%)</t>
  </si>
  <si>
    <t>2. Create Curve</t>
  </si>
  <si>
    <t>Curve Handle:</t>
  </si>
  <si>
    <t>Syntax:</t>
  </si>
  <si>
    <t>CX.CURVE(name, refDate, tenors, rates, interp, daycount)</t>
  </si>
  <si>
    <t>3. Query Curve</t>
  </si>
  <si>
    <t>Query</t>
  </si>
  <si>
    <t>Tenor</t>
  </si>
  <si>
    <t>Result</t>
  </si>
  <si>
    <t>Formula</t>
  </si>
  <si>
    <t>Zero Rate @ 5Y</t>
  </si>
  <si>
    <t>CX.CURVE.ZERO(curve, tenor)</t>
  </si>
  <si>
    <t>Zero Rate @ 15Y</t>
  </si>
  <si>
    <t>Discount @ 5Y</t>
  </si>
  <si>
    <t>CX.CURVE.DISCOUNT(curve, tenor)</t>
  </si>
  <si>
    <t>Discount @ 10Y</t>
  </si>
  <si>
    <t>Forward 2Y-5Y</t>
  </si>
  <si>
    <t>CX.CURVE.FORWARD(curve, t1, t2)</t>
  </si>
  <si>
    <t>Forward 5Y-10Y</t>
  </si>
  <si>
    <t>Bond Creation</t>
  </si>
  <si>
    <t>1. Generic Fixed Rate Bond (CX.BOND)</t>
  </si>
  <si>
    <t>Syntax: CX.BOND(isin, coupon%, frequency, maturity, issue, daycount, bdc)</t>
  </si>
  <si>
    <t>ISIN:</t>
  </si>
  <si>
    <t>US123456789</t>
  </si>
  <si>
    <t>Coupon (%):</t>
  </si>
  <si>
    <t>Frequency:</t>
  </si>
  <si>
    <t>(1=Annual, 2=Semi, 4=Quarterly)</t>
  </si>
  <si>
    <t>Maturity:</t>
  </si>
  <si>
    <t>Issue Date:</t>
  </si>
  <si>
    <t>Day Count:</t>
  </si>
  <si>
    <t>(0=Act/360, 1=30/360, 2=Act/365, 3=Act/Act)</t>
  </si>
  <si>
    <t>Bond Handle:</t>
  </si>
  <si>
    <t>2. US Corporate Bond (CX.BOND.CORP)</t>
  </si>
  <si>
    <t>Syntax: CX.BOND.CORP(isin, coupon%, maturity, issue)</t>
  </si>
  <si>
    <t>Corp Bond:</t>
  </si>
  <si>
    <t>3. US Treasury Bond (CX.BOND.TSY)</t>
  </si>
  <si>
    <t>Syntax: CX.BOND.TSY(isin, coupon%, maturity, issue)</t>
  </si>
  <si>
    <t>Treasury:</t>
  </si>
  <si>
    <t>4. Callable Bond (CX.BOND.CALLABLE)</t>
  </si>
  <si>
    <t>Syntax: CX.BOND.CALLABLE(isin, coupon%, maturity, issue, callDate, callPrice)</t>
  </si>
  <si>
    <t>Call Date:</t>
  </si>
  <si>
    <t>Call Price:</t>
  </si>
  <si>
    <t>Callable Bond:</t>
  </si>
  <si>
    <t>Bond Pricing &amp; Yield Calculations</t>
  </si>
  <si>
    <t>Setup</t>
  </si>
  <si>
    <t>Settlement Date:</t>
  </si>
  <si>
    <t>1. Yield from Price (CX.YIELD)</t>
  </si>
  <si>
    <t>Clean Price (input):</t>
  </si>
  <si>
    <t>YTM (%):</t>
  </si>
  <si>
    <t>2. Price from Yield (CX.PRICE)</t>
  </si>
  <si>
    <t>Yield (input %):</t>
  </si>
  <si>
    <t>Clean Price:</t>
  </si>
  <si>
    <t>3. Dirty Price &amp; Accrued</t>
  </si>
  <si>
    <t>Dirty Price:</t>
  </si>
  <si>
    <t>Accrued Interest:</t>
  </si>
  <si>
    <t>Bond Risk Analytics</t>
  </si>
  <si>
    <t>Yield (%):</t>
  </si>
  <si>
    <t>Duration Measures</t>
  </si>
  <si>
    <t>Metric</t>
  </si>
  <si>
    <t>Value</t>
  </si>
  <si>
    <t>Modified Duration</t>
  </si>
  <si>
    <t>CX.DURATION(bond, settle, yield%)</t>
  </si>
  <si>
    <t>Macaulay Duration</t>
  </si>
  <si>
    <t>CX.DURATION.MAC(bond, settle, yield%)</t>
  </si>
  <si>
    <t>Convexity &amp; DV01</t>
  </si>
  <si>
    <t>Convexity</t>
  </si>
  <si>
    <t>CX.CONVEXITY(bond, settle, yield%)</t>
  </si>
  <si>
    <t>DV01 (per $100)</t>
  </si>
  <si>
    <t>CX.DV01(bond, settle, yield%)</t>
  </si>
  <si>
    <t>Spread Calculations</t>
  </si>
  <si>
    <t>Setup: Create Bond and Curve</t>
  </si>
  <si>
    <t>Govt Curve Handle:</t>
  </si>
  <si>
    <t>Spread Measures (bps)</t>
  </si>
  <si>
    <t>Spread</t>
  </si>
  <si>
    <t>Description</t>
  </si>
  <si>
    <t>Z-Spread</t>
  </si>
  <si>
    <t>Constant spread over zero curve</t>
  </si>
  <si>
    <t>I-Spread</t>
  </si>
  <si>
    <t>Spread vs interpolated swap rate</t>
  </si>
  <si>
    <t>G-Spread</t>
  </si>
  <si>
    <t>Spread vs government benchmark</t>
  </si>
  <si>
    <t>ASW Spread</t>
  </si>
  <si>
    <t>Asset swap spread</t>
  </si>
  <si>
    <t>Curve Bootstrapping from Market Instruments</t>
  </si>
  <si>
    <t>1. Deposit &amp; Swap Bootstrap</t>
  </si>
  <si>
    <t>Deposits</t>
  </si>
  <si>
    <t>Swaps</t>
  </si>
  <si>
    <t>Rate (%)</t>
  </si>
  <si>
    <t>Bootstrapped Curve:</t>
  </si>
  <si>
    <t>2. OIS Bootstrap</t>
  </si>
  <si>
    <t>OIS Rate (%)</t>
  </si>
  <si>
    <t>OIS Curve:</t>
  </si>
  <si>
    <t>3. Mixed Instruments</t>
  </si>
  <si>
    <t>Types: 0=Deposit, 1=FRA, 2=Swap, 3=OIS</t>
  </si>
  <si>
    <t>Type</t>
  </si>
  <si>
    <t>Mixed Curve:</t>
  </si>
  <si>
    <t>Parameter Reference</t>
  </si>
  <si>
    <t>Interpolation Methods</t>
  </si>
  <si>
    <t>Code</t>
  </si>
  <si>
    <t>Method</t>
  </si>
  <si>
    <t>Linear</t>
  </si>
  <si>
    <t>Linear interpolation on zero rates</t>
  </si>
  <si>
    <t>LogLinear</t>
  </si>
  <si>
    <t>Linear on log discount factors</t>
  </si>
  <si>
    <t>Cubic</t>
  </si>
  <si>
    <t>Cubic spline</t>
  </si>
  <si>
    <t>MonotoneConvex</t>
  </si>
  <si>
    <t>Hagan-West monotone convex</t>
  </si>
  <si>
    <t>Day Count Conventions</t>
  </si>
  <si>
    <t>Convention</t>
  </si>
  <si>
    <t>Act/360</t>
  </si>
  <si>
    <t>Actual days / 360</t>
  </si>
  <si>
    <t>30/360</t>
  </si>
  <si>
    <t>30 days per month / 360</t>
  </si>
  <si>
    <t>Act/365</t>
  </si>
  <si>
    <t>Actual days / 365</t>
  </si>
  <si>
    <t>Act/Act ISDA</t>
  </si>
  <si>
    <t>Actual / Actual (ISDA)</t>
  </si>
  <si>
    <t>Act/Act ICMA</t>
  </si>
  <si>
    <t>Actual / Actual (ICMA)</t>
  </si>
  <si>
    <t>Bus/252</t>
  </si>
  <si>
    <t>Business days / 252</t>
  </si>
  <si>
    <t>Frequency Codes</t>
  </si>
  <si>
    <t>Frequency</t>
  </si>
  <si>
    <t>Payments/Year</t>
  </si>
  <si>
    <t>Annual</t>
  </si>
  <si>
    <t>Semi-Annual</t>
  </si>
  <si>
    <t>Quarterly</t>
  </si>
  <si>
    <t>Monthly</t>
  </si>
  <si>
    <t>Instrument Types (Bootstrap)</t>
  </si>
  <si>
    <t>Deposit</t>
  </si>
  <si>
    <t>Money market deposit</t>
  </si>
  <si>
    <t>FRA</t>
  </si>
  <si>
    <t>Forward rate agreement</t>
  </si>
  <si>
    <t>Swap</t>
  </si>
  <si>
    <t>Interest rate swap</t>
  </si>
  <si>
    <t>OIS</t>
  </si>
  <si>
    <t>Overnight index swap</t>
  </si>
  <si>
    <t>Business Day Conventions</t>
  </si>
  <si>
    <t>None</t>
  </si>
  <si>
    <t>No adjustment</t>
  </si>
  <si>
    <t>Following</t>
  </si>
  <si>
    <t>Next business day</t>
  </si>
  <si>
    <t>ModifiedFollowing</t>
  </si>
  <si>
    <t>Next, unless different month</t>
  </si>
  <si>
    <t>Preceding</t>
  </si>
  <si>
    <t>Previous business day</t>
  </si>
</sst>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1F4E79"/>
      <name val="Calibri"/>
      <family val="2"/>
      <scheme val="minor"/>
    </font>
    <font>
      <sz val="10"/>
      <color theme="1"/>
      <name val="Consolas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1" xfId="0" applyFont="1" applyFill="1" applyBorder="1"/>
    <xf numFmtId="0" fontId="4" fillId="4" borderId="1" xfId="0" applyFont="1" applyFill="1" applyBorder="1"/>
    <xf numFmtId="0" fontId="0" fillId="0" borderId="1" xfId="0" applyBorder="1"/>
    <xf numFmtId="164" fontId="0" fillId="5" borderId="1" xfId="0" applyNumberFormat="1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0"/>
  <sheetViews>
    <sheetView tabSelected="1" workbookViewId="0"/>
  </sheetViews>
  <sheetFormatPr defaultRowHeight="15"/>
  <cols>
    <col min="1" max="1" width="25.7109375" customWidth="1"/>
    <col min="2" max="2" width="50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3" spans="1:7">
      <c r="A3" t="s">
        <v>1</v>
      </c>
    </row>
    <row r="4" spans="1:7">
      <c r="A4" t="s">
        <v>2</v>
      </c>
    </row>
    <row r="6" spans="1:7">
      <c r="A6" s="2" t="s">
        <v>3</v>
      </c>
    </row>
    <row r="7" spans="1:7">
      <c r="A7" t="s">
        <v>4</v>
      </c>
      <c r="B7" s="3">
        <f>CX.VERSION()</f>
        <v>0</v>
      </c>
    </row>
    <row r="8" spans="1:7">
      <c r="A8" t="s">
        <v>5</v>
      </c>
      <c r="B8" s="3">
        <f>CX.LOAD.STATUS()</f>
        <v>0</v>
      </c>
    </row>
    <row r="10" spans="1:7">
      <c r="A10" s="2" t="s">
        <v>6</v>
      </c>
    </row>
    <row r="11" spans="1:7">
      <c r="A11" s="4" t="s">
        <v>7</v>
      </c>
      <c r="B11" s="4" t="s">
        <v>8</v>
      </c>
    </row>
    <row r="12" spans="1:7">
      <c r="A12" s="5" t="s">
        <v>9</v>
      </c>
      <c r="B12" s="5" t="s">
        <v>10</v>
      </c>
    </row>
    <row r="13" spans="1:7">
      <c r="A13" s="5" t="s">
        <v>11</v>
      </c>
      <c r="B13" s="5" t="s">
        <v>12</v>
      </c>
    </row>
    <row r="14" spans="1:7">
      <c r="A14" s="5" t="s">
        <v>13</v>
      </c>
      <c r="B14" s="5" t="s">
        <v>14</v>
      </c>
    </row>
    <row r="15" spans="1:7">
      <c r="A15" s="5" t="s">
        <v>15</v>
      </c>
      <c r="B15" s="5" t="s">
        <v>16</v>
      </c>
    </row>
    <row r="16" spans="1:7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9" spans="1:2">
      <c r="A19" t="s">
        <v>21</v>
      </c>
    </row>
    <row r="20" spans="1:2">
      <c r="A20" t="s">
        <v>22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8"/>
  <sheetViews>
    <sheetView workbookViewId="0"/>
  </sheetViews>
  <sheetFormatPr defaultRowHeight="15"/>
  <cols>
    <col min="1" max="1" width="20.7109375" customWidth="1"/>
    <col min="2" max="3" width="15.7109375" customWidth="1"/>
    <col min="4" max="4" width="40.7109375" customWidth="1"/>
  </cols>
  <sheetData>
    <row r="1" spans="1:7">
      <c r="A1" s="1" t="s">
        <v>23</v>
      </c>
      <c r="B1" s="1"/>
      <c r="C1" s="1"/>
      <c r="D1" s="1"/>
      <c r="E1" s="1"/>
      <c r="F1" s="1"/>
      <c r="G1" s="1"/>
    </row>
    <row r="3" spans="1:7">
      <c r="A3" s="2" t="s">
        <v>24</v>
      </c>
    </row>
    <row r="4" spans="1:7">
      <c r="A4" t="s">
        <v>25</v>
      </c>
      <c r="B4" s="6">
        <v>46012</v>
      </c>
    </row>
    <row r="5" spans="1:7">
      <c r="A5" t="s">
        <v>26</v>
      </c>
      <c r="B5" s="7" t="s">
        <v>27</v>
      </c>
    </row>
    <row r="7" spans="1:7">
      <c r="A7" s="4" t="s">
        <v>28</v>
      </c>
      <c r="B7" s="4" t="s">
        <v>29</v>
      </c>
    </row>
    <row r="8" spans="1:7">
      <c r="A8" s="7">
        <v>1</v>
      </c>
      <c r="B8" s="7">
        <v>4.5</v>
      </c>
    </row>
    <row r="9" spans="1:7">
      <c r="A9" s="7">
        <v>2</v>
      </c>
      <c r="B9" s="7">
        <v>4.25</v>
      </c>
    </row>
    <row r="10" spans="1:7">
      <c r="A10" s="7">
        <v>3</v>
      </c>
      <c r="B10" s="7">
        <v>4.1</v>
      </c>
    </row>
    <row r="11" spans="1:7">
      <c r="A11" s="7">
        <v>5</v>
      </c>
      <c r="B11" s="7">
        <v>4</v>
      </c>
    </row>
    <row r="12" spans="1:7">
      <c r="A12" s="7">
        <v>7</v>
      </c>
      <c r="B12" s="7">
        <v>4.05</v>
      </c>
    </row>
    <row r="13" spans="1:7">
      <c r="A13" s="7">
        <v>10</v>
      </c>
      <c r="B13" s="7">
        <v>4.15</v>
      </c>
    </row>
    <row r="14" spans="1:7">
      <c r="A14" s="7">
        <v>20</v>
      </c>
      <c r="B14" s="7">
        <v>4.4</v>
      </c>
    </row>
    <row r="15" spans="1:7">
      <c r="A15" s="7">
        <v>30</v>
      </c>
      <c r="B15" s="7">
        <v>4.5</v>
      </c>
    </row>
    <row r="17" spans="1:4">
      <c r="A17" s="2" t="s">
        <v>30</v>
      </c>
    </row>
    <row r="18" spans="1:4">
      <c r="A18" t="s">
        <v>31</v>
      </c>
      <c r="B18" s="3">
        <f>CX.CURVE(B5, B4, A8:A15, B8:B15, 0, 1)</f>
        <v>0</v>
      </c>
    </row>
    <row r="19" spans="1:4">
      <c r="A19" t="s">
        <v>32</v>
      </c>
      <c r="B19" t="s">
        <v>33</v>
      </c>
    </row>
    <row r="21" spans="1:4">
      <c r="A21" s="2" t="s">
        <v>34</v>
      </c>
    </row>
    <row r="22" spans="1:4">
      <c r="A22" s="4" t="s">
        <v>35</v>
      </c>
      <c r="B22" s="4" t="s">
        <v>36</v>
      </c>
      <c r="C22" s="4" t="s">
        <v>37</v>
      </c>
      <c r="D22" s="4" t="s">
        <v>38</v>
      </c>
    </row>
    <row r="23" spans="1:4">
      <c r="A23" s="5" t="s">
        <v>39</v>
      </c>
      <c r="B23" s="7">
        <v>5</v>
      </c>
      <c r="C23" s="3">
        <f>CX.CURVE.ZERO(B18, B23)</f>
        <v>0</v>
      </c>
      <c r="D23" s="5" t="s">
        <v>40</v>
      </c>
    </row>
    <row r="24" spans="1:4">
      <c r="A24" s="5" t="s">
        <v>41</v>
      </c>
      <c r="B24" s="7">
        <v>15</v>
      </c>
      <c r="C24" s="3">
        <f>CX.CURVE.ZERO(B18, B24)</f>
        <v>0</v>
      </c>
      <c r="D24" s="5" t="s">
        <v>40</v>
      </c>
    </row>
    <row r="25" spans="1:4">
      <c r="A25" s="5" t="s">
        <v>42</v>
      </c>
      <c r="B25" s="7">
        <v>5</v>
      </c>
      <c r="C25" s="3">
        <f>CX.CURVE.DISCOUNT(B18, B25)</f>
        <v>0</v>
      </c>
      <c r="D25" s="5" t="s">
        <v>43</v>
      </c>
    </row>
    <row r="26" spans="1:4">
      <c r="A26" s="5" t="s">
        <v>44</v>
      </c>
      <c r="B26" s="7">
        <v>10</v>
      </c>
      <c r="C26" s="3">
        <f>CX.CURVE.DISCOUNT(B18, B26)</f>
        <v>0</v>
      </c>
      <c r="D26" s="5" t="s">
        <v>43</v>
      </c>
    </row>
    <row r="27" spans="1:4">
      <c r="A27" s="5" t="s">
        <v>45</v>
      </c>
      <c r="B27" s="7">
        <v>2</v>
      </c>
      <c r="C27" s="3">
        <f>CX.CURVE.FORWARD(B18, B27, 5)</f>
        <v>0</v>
      </c>
      <c r="D27" s="5" t="s">
        <v>46</v>
      </c>
    </row>
    <row r="28" spans="1:4">
      <c r="A28" s="5" t="s">
        <v>47</v>
      </c>
      <c r="B28" s="7">
        <v>5</v>
      </c>
      <c r="C28" s="3">
        <f>CX.CURVE.FORWARD(B18, B28, 10)</f>
        <v>0</v>
      </c>
      <c r="D28" s="5" t="s">
        <v>46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0"/>
  <sheetViews>
    <sheetView workbookViewId="0"/>
  </sheetViews>
  <sheetFormatPr defaultRowHeight="15"/>
  <cols>
    <col min="1" max="1" width="22.7109375" customWidth="1"/>
    <col min="2" max="2" width="20.7109375" customWidth="1"/>
    <col min="3" max="3" width="45.7109375" customWidth="1"/>
  </cols>
  <sheetData>
    <row r="1" spans="1:7">
      <c r="A1" s="1" t="s">
        <v>48</v>
      </c>
      <c r="B1" s="1"/>
      <c r="C1" s="1"/>
      <c r="D1" s="1"/>
      <c r="E1" s="1"/>
      <c r="F1" s="1"/>
      <c r="G1" s="1"/>
    </row>
    <row r="3" spans="1:7">
      <c r="A3" s="2" t="s">
        <v>49</v>
      </c>
    </row>
    <row r="4" spans="1:7">
      <c r="A4" t="s">
        <v>50</v>
      </c>
    </row>
    <row r="6" spans="1:7">
      <c r="A6" t="s">
        <v>51</v>
      </c>
      <c r="B6" s="7" t="s">
        <v>52</v>
      </c>
    </row>
    <row r="7" spans="1:7">
      <c r="A7" t="s">
        <v>53</v>
      </c>
      <c r="B7" s="7">
        <v>5</v>
      </c>
    </row>
    <row r="8" spans="1:7">
      <c r="A8" t="s">
        <v>54</v>
      </c>
      <c r="B8" s="7">
        <v>2</v>
      </c>
      <c r="C8" t="s">
        <v>55</v>
      </c>
    </row>
    <row r="9" spans="1:7">
      <c r="A9" t="s">
        <v>56</v>
      </c>
      <c r="B9" s="6">
        <v>47837</v>
      </c>
    </row>
    <row r="10" spans="1:7">
      <c r="A10" t="s">
        <v>57</v>
      </c>
      <c r="B10" s="6">
        <v>45282</v>
      </c>
    </row>
    <row r="11" spans="1:7">
      <c r="A11" t="s">
        <v>58</v>
      </c>
      <c r="B11" s="7">
        <v>1</v>
      </c>
      <c r="C11" t="s">
        <v>59</v>
      </c>
    </row>
    <row r="13" spans="1:7">
      <c r="A13" t="s">
        <v>60</v>
      </c>
      <c r="B13" s="3">
        <f>CX.BOND(B6, B7, B8, B9, B10, B11, 2)</f>
        <v>0</v>
      </c>
    </row>
    <row r="16" spans="1:7">
      <c r="A16" s="2" t="s">
        <v>61</v>
      </c>
    </row>
    <row r="17" spans="1:2">
      <c r="A17" t="s">
        <v>62</v>
      </c>
    </row>
    <row r="18" spans="1:2">
      <c r="A18" t="s">
        <v>63</v>
      </c>
      <c r="B18" s="3">
        <f>CX.BOND.CORP("AAPL 5.0", 5.0, B9, B10)</f>
        <v>0</v>
      </c>
    </row>
    <row r="21" spans="1:2">
      <c r="A21" s="2" t="s">
        <v>64</v>
      </c>
    </row>
    <row r="22" spans="1:2">
      <c r="A22" t="s">
        <v>65</v>
      </c>
    </row>
    <row r="23" spans="1:2">
      <c r="A23" t="s">
        <v>66</v>
      </c>
      <c r="B23" s="3">
        <f>CX.BOND.TSY("T 4.5", 4.5, B9, B10)</f>
        <v>0</v>
      </c>
    </row>
    <row r="26" spans="1:2">
      <c r="A26" s="2" t="s">
        <v>67</v>
      </c>
    </row>
    <row r="27" spans="1:2">
      <c r="A27" t="s">
        <v>68</v>
      </c>
    </row>
    <row r="28" spans="1:2">
      <c r="A28" t="s">
        <v>69</v>
      </c>
      <c r="B28" s="6">
        <v>46742</v>
      </c>
    </row>
    <row r="29" spans="1:2">
      <c r="A29" t="s">
        <v>70</v>
      </c>
      <c r="B29" s="7">
        <v>100</v>
      </c>
    </row>
    <row r="30" spans="1:2">
      <c r="A30" t="s">
        <v>71</v>
      </c>
      <c r="B30" s="3">
        <f>CX.BOND.CALLABLE("CALL 5.5", 5.5, B9, B10, B28, B29)</f>
        <v>0</v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25.7109375" customWidth="1"/>
    <col min="2" max="2" width="18.7109375" customWidth="1"/>
    <col min="3" max="3" width="45.7109375" customWidth="1"/>
  </cols>
  <sheetData>
    <row r="1" spans="1:7">
      <c r="A1" s="1" t="s">
        <v>72</v>
      </c>
      <c r="B1" s="1"/>
      <c r="C1" s="1"/>
      <c r="D1" s="1"/>
      <c r="E1" s="1"/>
      <c r="F1" s="1"/>
      <c r="G1" s="1"/>
    </row>
    <row r="3" spans="1:7">
      <c r="A3" s="2" t="s">
        <v>73</v>
      </c>
    </row>
    <row r="4" spans="1:7">
      <c r="A4" t="s">
        <v>60</v>
      </c>
      <c r="B4" s="3">
        <f>CX.BOND.CORP("PRICING TEST", 5.0, DATE(2030,12,20), DATE(2023,12,22))</f>
        <v>0</v>
      </c>
    </row>
    <row r="5" spans="1:7">
      <c r="A5" t="s">
        <v>74</v>
      </c>
      <c r="B5" s="6">
        <v>46012</v>
      </c>
    </row>
    <row r="7" spans="1:7">
      <c r="A7" s="2" t="s">
        <v>75</v>
      </c>
    </row>
    <row r="8" spans="1:7">
      <c r="A8" t="s">
        <v>76</v>
      </c>
      <c r="B8" s="7">
        <v>98.5</v>
      </c>
    </row>
    <row r="9" spans="1:7">
      <c r="A9" t="s">
        <v>77</v>
      </c>
      <c r="B9" s="3">
        <f>CX.YIELD(B4, B5, B8)</f>
        <v>0</v>
      </c>
    </row>
    <row r="11" spans="1:7">
      <c r="A11" s="2" t="s">
        <v>78</v>
      </c>
    </row>
    <row r="12" spans="1:7">
      <c r="A12" t="s">
        <v>79</v>
      </c>
      <c r="B12" s="7">
        <v>5.25</v>
      </c>
    </row>
    <row r="13" spans="1:7">
      <c r="A13" t="s">
        <v>80</v>
      </c>
      <c r="B13" s="3">
        <f>CX.PRICE(B4, B5, B12)</f>
        <v>0</v>
      </c>
    </row>
    <row r="15" spans="1:7">
      <c r="A15" s="2" t="s">
        <v>81</v>
      </c>
    </row>
    <row r="16" spans="1:7">
      <c r="A16" t="s">
        <v>82</v>
      </c>
      <c r="B16" s="3">
        <f>CX.DIRTY.PRICE(B4, B5, B12)</f>
        <v>0</v>
      </c>
    </row>
    <row r="17" spans="1:2">
      <c r="A17" t="s">
        <v>83</v>
      </c>
      <c r="B17" s="3">
        <f>CX.BOND.ACCRUED(B4, B5)</f>
        <v>0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25.7109375" customWidth="1"/>
    <col min="2" max="2" width="18.7109375" customWidth="1"/>
    <col min="3" max="3" width="45.7109375" customWidth="1"/>
  </cols>
  <sheetData>
    <row r="1" spans="1:7">
      <c r="A1" s="1" t="s">
        <v>84</v>
      </c>
      <c r="B1" s="1"/>
      <c r="C1" s="1"/>
      <c r="D1" s="1"/>
      <c r="E1" s="1"/>
      <c r="F1" s="1"/>
      <c r="G1" s="1"/>
    </row>
    <row r="3" spans="1:7">
      <c r="A3" s="2" t="s">
        <v>73</v>
      </c>
    </row>
    <row r="4" spans="1:7">
      <c r="A4" t="s">
        <v>60</v>
      </c>
      <c r="B4" s="3">
        <f>CX.BOND.CORP("RISK TEST", 5.0, DATE(2030,12,20), DATE(2023,12,22))</f>
        <v>0</v>
      </c>
    </row>
    <row r="5" spans="1:7">
      <c r="A5" t="s">
        <v>74</v>
      </c>
      <c r="B5" s="6">
        <v>46012</v>
      </c>
    </row>
    <row r="6" spans="1:7">
      <c r="A6" t="s">
        <v>85</v>
      </c>
      <c r="B6" s="7">
        <v>5</v>
      </c>
    </row>
    <row r="8" spans="1:7">
      <c r="A8" s="2" t="s">
        <v>86</v>
      </c>
    </row>
    <row r="9" spans="1:7">
      <c r="A9" s="4" t="s">
        <v>87</v>
      </c>
      <c r="B9" s="4" t="s">
        <v>88</v>
      </c>
      <c r="C9" s="4" t="s">
        <v>38</v>
      </c>
    </row>
    <row r="10" spans="1:7">
      <c r="A10" s="5" t="s">
        <v>89</v>
      </c>
      <c r="B10" s="3">
        <f>CX.DURATION(B4, B5, B6)</f>
        <v>0</v>
      </c>
      <c r="C10" s="5" t="s">
        <v>90</v>
      </c>
    </row>
    <row r="11" spans="1:7">
      <c r="A11" s="5" t="s">
        <v>91</v>
      </c>
      <c r="B11" s="3">
        <f>CX.DURATION.MAC(B4, B5, B6)</f>
        <v>0</v>
      </c>
      <c r="C11" s="5" t="s">
        <v>92</v>
      </c>
    </row>
    <row r="13" spans="1:7">
      <c r="A13" s="2" t="s">
        <v>93</v>
      </c>
    </row>
    <row r="14" spans="1:7">
      <c r="A14" s="4" t="s">
        <v>87</v>
      </c>
      <c r="B14" s="4" t="s">
        <v>88</v>
      </c>
      <c r="C14" s="4" t="s">
        <v>38</v>
      </c>
    </row>
    <row r="15" spans="1:7">
      <c r="A15" s="5" t="s">
        <v>94</v>
      </c>
      <c r="B15" s="3">
        <f>CX.CONVEXITY(B4, B5, B6)</f>
        <v>0</v>
      </c>
      <c r="C15" s="5" t="s">
        <v>95</v>
      </c>
    </row>
    <row r="16" spans="1:7">
      <c r="A16" s="5" t="s">
        <v>96</v>
      </c>
      <c r="B16" s="3">
        <f>CX.DV01(B4, B5, B6)</f>
        <v>0</v>
      </c>
      <c r="C16" s="5" t="s">
        <v>97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25.7109375" customWidth="1"/>
    <col min="2" max="2" width="18.7109375" customWidth="1"/>
    <col min="3" max="3" width="50.7109375" customWidth="1"/>
  </cols>
  <sheetData>
    <row r="1" spans="1:7">
      <c r="A1" s="1" t="s">
        <v>98</v>
      </c>
      <c r="B1" s="1"/>
      <c r="C1" s="1"/>
      <c r="D1" s="1"/>
      <c r="E1" s="1"/>
      <c r="F1" s="1"/>
      <c r="G1" s="1"/>
    </row>
    <row r="3" spans="1:7">
      <c r="A3" s="2" t="s">
        <v>99</v>
      </c>
    </row>
    <row r="4" spans="1:7">
      <c r="A4" t="s">
        <v>74</v>
      </c>
      <c r="B4" s="6">
        <v>46012</v>
      </c>
    </row>
    <row r="6" spans="1:7">
      <c r="A6" t="s">
        <v>60</v>
      </c>
      <c r="B6" s="3">
        <f>CX.BOND.CORP("SPREAD TEST", 5.0, DATE(2030,12,20), DATE(2023,12,22))</f>
        <v>0</v>
      </c>
    </row>
    <row r="7" spans="1:7">
      <c r="A7" t="s">
        <v>100</v>
      </c>
      <c r="B7" s="3">
        <f>CX.CURVE("GOVT", B4, {1,2,5,10}, {4.0,4.1,4.2,4.3}, 0, 1)</f>
        <v>0</v>
      </c>
    </row>
    <row r="8" spans="1:7">
      <c r="A8" t="s">
        <v>80</v>
      </c>
      <c r="B8" s="7">
        <v>98.5</v>
      </c>
    </row>
    <row r="10" spans="1:7">
      <c r="A10" s="2" t="s">
        <v>101</v>
      </c>
    </row>
    <row r="11" spans="1:7">
      <c r="A11" s="4" t="s">
        <v>102</v>
      </c>
      <c r="B11" s="4" t="s">
        <v>88</v>
      </c>
      <c r="C11" s="4" t="s">
        <v>103</v>
      </c>
    </row>
    <row r="12" spans="1:7">
      <c r="A12" s="5" t="s">
        <v>104</v>
      </c>
      <c r="B12" s="3">
        <f>CX.ZSPREAD(B6, B7, B4, B8)</f>
        <v>0</v>
      </c>
      <c r="C12" s="5" t="s">
        <v>105</v>
      </c>
    </row>
    <row r="13" spans="1:7">
      <c r="A13" s="5" t="s">
        <v>106</v>
      </c>
      <c r="B13" s="3">
        <f>CX.ISPREAD(B6, B7, B4, B8)</f>
        <v>0</v>
      </c>
      <c r="C13" s="5" t="s">
        <v>107</v>
      </c>
    </row>
    <row r="14" spans="1:7">
      <c r="A14" s="5" t="s">
        <v>108</v>
      </c>
      <c r="B14" s="3">
        <f>CX.GSPREAD(B6, B7, B4, B8)</f>
        <v>0</v>
      </c>
      <c r="C14" s="5" t="s">
        <v>109</v>
      </c>
    </row>
    <row r="15" spans="1:7">
      <c r="A15" s="5" t="s">
        <v>110</v>
      </c>
      <c r="B15" s="3">
        <f>CX.ASW(B6, B7, B4, B8)</f>
        <v>0</v>
      </c>
      <c r="C15" s="5" t="s">
        <v>111</v>
      </c>
    </row>
  </sheetData>
  <mergeCells count="1">
    <mergeCell ref="A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37"/>
  <sheetViews>
    <sheetView workbookViewId="0"/>
  </sheetViews>
  <sheetFormatPr defaultRowHeight="15"/>
  <cols>
    <col min="1" max="1" width="22.7109375" customWidth="1"/>
    <col min="2" max="5" width="15.7109375" customWidth="1"/>
  </cols>
  <sheetData>
    <row r="1" spans="1:7">
      <c r="A1" s="1" t="s">
        <v>112</v>
      </c>
      <c r="B1" s="1"/>
      <c r="C1" s="1"/>
      <c r="D1" s="1"/>
      <c r="E1" s="1"/>
      <c r="F1" s="1"/>
      <c r="G1" s="1"/>
    </row>
    <row r="3" spans="1:7">
      <c r="A3" s="2" t="s">
        <v>113</v>
      </c>
    </row>
    <row r="4" spans="1:7">
      <c r="A4" t="s">
        <v>25</v>
      </c>
      <c r="B4" s="6">
        <v>46012</v>
      </c>
    </row>
    <row r="6" spans="1:7">
      <c r="A6" s="4" t="s">
        <v>114</v>
      </c>
      <c r="C6" s="4" t="s">
        <v>115</v>
      </c>
    </row>
    <row r="7" spans="1:7">
      <c r="A7" s="4" t="s">
        <v>36</v>
      </c>
      <c r="B7" s="4" t="s">
        <v>116</v>
      </c>
      <c r="C7" s="4" t="s">
        <v>36</v>
      </c>
      <c r="D7" s="4" t="s">
        <v>116</v>
      </c>
    </row>
    <row r="8" spans="1:7">
      <c r="A8" s="7">
        <v>0.25</v>
      </c>
      <c r="B8" s="7">
        <v>4.8</v>
      </c>
      <c r="C8" s="7">
        <v>2</v>
      </c>
      <c r="D8" s="7">
        <v>4.4</v>
      </c>
    </row>
    <row r="9" spans="1:7">
      <c r="A9" s="7">
        <v>0.5</v>
      </c>
      <c r="B9" s="7">
        <v>4.7</v>
      </c>
      <c r="C9" s="7">
        <v>3</v>
      </c>
      <c r="D9" s="7">
        <v>4.3</v>
      </c>
    </row>
    <row r="10" spans="1:7">
      <c r="A10" s="7">
        <v>1</v>
      </c>
      <c r="B10" s="7">
        <v>4.6</v>
      </c>
      <c r="C10" s="7">
        <v>5</v>
      </c>
      <c r="D10" s="7">
        <v>4.2</v>
      </c>
    </row>
    <row r="11" spans="1:7">
      <c r="C11" s="7">
        <v>7</v>
      </c>
      <c r="D11" s="7">
        <v>4.25</v>
      </c>
    </row>
    <row r="12" spans="1:7">
      <c r="C12" s="7">
        <v>10</v>
      </c>
      <c r="D12" s="7">
        <v>4.35</v>
      </c>
    </row>
    <row r="14" spans="1:7">
      <c r="A14" t="s">
        <v>117</v>
      </c>
      <c r="B14" s="3">
        <f>CX.BOOTSTRAP("USD.SWAP", B4, A8:A10, B8:B10, C8:C12, D8:D12, 0, 1)</f>
        <v>0</v>
      </c>
    </row>
    <row r="17" spans="1:3">
      <c r="A17" s="2" t="s">
        <v>118</v>
      </c>
    </row>
    <row r="18" spans="1:3">
      <c r="A18" s="4" t="s">
        <v>36</v>
      </c>
      <c r="B18" s="4" t="s">
        <v>119</v>
      </c>
    </row>
    <row r="19" spans="1:3">
      <c r="A19" s="7">
        <v>0.25</v>
      </c>
      <c r="B19" s="7">
        <v>4.3</v>
      </c>
    </row>
    <row r="20" spans="1:3">
      <c r="A20" s="7">
        <v>0.5</v>
      </c>
      <c r="B20" s="7">
        <v>4.28</v>
      </c>
    </row>
    <row r="21" spans="1:3">
      <c r="A21" s="7">
        <v>1</v>
      </c>
      <c r="B21" s="7">
        <v>4.25</v>
      </c>
    </row>
    <row r="22" spans="1:3">
      <c r="A22" s="7">
        <v>2</v>
      </c>
      <c r="B22" s="7">
        <v>4.2</v>
      </c>
    </row>
    <row r="23" spans="1:3">
      <c r="A23" s="7">
        <v>5</v>
      </c>
      <c r="B23" s="7">
        <v>4.15</v>
      </c>
    </row>
    <row r="25" spans="1:3">
      <c r="A25" t="s">
        <v>120</v>
      </c>
      <c r="B25" s="3">
        <f>CX.BOOTSTRAP.OIS("USD.OIS", B4, A19:A23, B19:B23, 0, 1)</f>
        <v>0</v>
      </c>
    </row>
    <row r="28" spans="1:3">
      <c r="A28" s="2" t="s">
        <v>121</v>
      </c>
    </row>
    <row r="29" spans="1:3">
      <c r="A29" t="s">
        <v>122</v>
      </c>
    </row>
    <row r="30" spans="1:3">
      <c r="A30" s="4" t="s">
        <v>123</v>
      </c>
      <c r="B30" s="4" t="s">
        <v>36</v>
      </c>
      <c r="C30" s="4" t="s">
        <v>116</v>
      </c>
    </row>
    <row r="31" spans="1:3">
      <c r="A31" s="7">
        <v>0</v>
      </c>
      <c r="B31" s="7">
        <v>0.25</v>
      </c>
      <c r="C31" s="7">
        <v>4.8</v>
      </c>
    </row>
    <row r="32" spans="1:3">
      <c r="A32" s="7">
        <v>0</v>
      </c>
      <c r="B32" s="7">
        <v>0.5</v>
      </c>
      <c r="C32" s="7">
        <v>4.7</v>
      </c>
    </row>
    <row r="33" spans="1:3">
      <c r="A33" s="7">
        <v>2</v>
      </c>
      <c r="B33" s="7">
        <v>2</v>
      </c>
      <c r="C33" s="7">
        <v>4.4</v>
      </c>
    </row>
    <row r="34" spans="1:3">
      <c r="A34" s="7">
        <v>2</v>
      </c>
      <c r="B34" s="7">
        <v>5</v>
      </c>
      <c r="C34" s="7">
        <v>4.2</v>
      </c>
    </row>
    <row r="35" spans="1:3">
      <c r="A35" s="7">
        <v>2</v>
      </c>
      <c r="B35" s="7">
        <v>10</v>
      </c>
      <c r="C35" s="7">
        <v>4.35</v>
      </c>
    </row>
    <row r="37" spans="1:3">
      <c r="A37" t="s">
        <v>124</v>
      </c>
      <c r="B37" s="3">
        <f>CX.BOOTSTRAP.MIXED("USD.MIXED", B4, A31:A35, B31:B35, C31:C35, 0, 1)</f>
        <v>0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8"/>
  <sheetViews>
    <sheetView workbookViewId="0"/>
  </sheetViews>
  <sheetFormatPr defaultRowHeight="15"/>
  <cols>
    <col min="1" max="1" width="25.7109375" customWidth="1"/>
    <col min="2" max="2" width="18.7109375" customWidth="1"/>
    <col min="3" max="3" width="50.7109375" customWidth="1"/>
  </cols>
  <sheetData>
    <row r="1" spans="1:7">
      <c r="A1" s="1" t="s">
        <v>125</v>
      </c>
      <c r="B1" s="1"/>
      <c r="C1" s="1"/>
      <c r="D1" s="1"/>
      <c r="E1" s="1"/>
      <c r="F1" s="1"/>
      <c r="G1" s="1"/>
    </row>
    <row r="3" spans="1:7">
      <c r="A3" s="2" t="s">
        <v>126</v>
      </c>
    </row>
    <row r="4" spans="1:7">
      <c r="A4" s="4" t="s">
        <v>127</v>
      </c>
      <c r="B4" s="4" t="s">
        <v>128</v>
      </c>
      <c r="C4" s="4" t="s">
        <v>103</v>
      </c>
    </row>
    <row r="5" spans="1:7">
      <c r="A5" s="5">
        <v>0</v>
      </c>
      <c r="B5" s="5" t="s">
        <v>129</v>
      </c>
      <c r="C5" s="5" t="s">
        <v>130</v>
      </c>
    </row>
    <row r="6" spans="1:7">
      <c r="A6" s="5">
        <v>1</v>
      </c>
      <c r="B6" s="5" t="s">
        <v>131</v>
      </c>
      <c r="C6" s="5" t="s">
        <v>132</v>
      </c>
    </row>
    <row r="7" spans="1:7">
      <c r="A7" s="5">
        <v>2</v>
      </c>
      <c r="B7" s="5" t="s">
        <v>133</v>
      </c>
      <c r="C7" s="5" t="s">
        <v>134</v>
      </c>
    </row>
    <row r="8" spans="1:7">
      <c r="A8" s="5">
        <v>3</v>
      </c>
      <c r="B8" s="5" t="s">
        <v>135</v>
      </c>
      <c r="C8" s="5" t="s">
        <v>136</v>
      </c>
    </row>
    <row r="10" spans="1:7">
      <c r="A10" s="2" t="s">
        <v>137</v>
      </c>
    </row>
    <row r="11" spans="1:7">
      <c r="A11" s="4" t="s">
        <v>127</v>
      </c>
      <c r="B11" s="4" t="s">
        <v>138</v>
      </c>
      <c r="C11" s="4" t="s">
        <v>103</v>
      </c>
    </row>
    <row r="12" spans="1:7">
      <c r="A12" s="5">
        <v>0</v>
      </c>
      <c r="B12" s="5" t="s">
        <v>139</v>
      </c>
      <c r="C12" s="5" t="s">
        <v>140</v>
      </c>
    </row>
    <row r="13" spans="1:7">
      <c r="A13" s="5">
        <v>1</v>
      </c>
      <c r="B13" s="5" t="s">
        <v>141</v>
      </c>
      <c r="C13" s="5" t="s">
        <v>142</v>
      </c>
    </row>
    <row r="14" spans="1:7">
      <c r="A14" s="5">
        <v>2</v>
      </c>
      <c r="B14" s="5" t="s">
        <v>143</v>
      </c>
      <c r="C14" s="5" t="s">
        <v>144</v>
      </c>
    </row>
    <row r="15" spans="1:7">
      <c r="A15" s="5">
        <v>3</v>
      </c>
      <c r="B15" s="5" t="s">
        <v>145</v>
      </c>
      <c r="C15" s="5" t="s">
        <v>146</v>
      </c>
    </row>
    <row r="16" spans="1:7">
      <c r="A16" s="5">
        <v>4</v>
      </c>
      <c r="B16" s="5" t="s">
        <v>147</v>
      </c>
      <c r="C16" s="5" t="s">
        <v>148</v>
      </c>
    </row>
    <row r="17" spans="1:3">
      <c r="A17" s="5">
        <v>5</v>
      </c>
      <c r="B17" s="5" t="s">
        <v>149</v>
      </c>
      <c r="C17" s="5" t="s">
        <v>150</v>
      </c>
    </row>
    <row r="19" spans="1:3">
      <c r="A19" s="2" t="s">
        <v>151</v>
      </c>
    </row>
    <row r="20" spans="1:3">
      <c r="A20" s="4" t="s">
        <v>127</v>
      </c>
      <c r="B20" s="4" t="s">
        <v>152</v>
      </c>
      <c r="C20" s="4" t="s">
        <v>153</v>
      </c>
    </row>
    <row r="21" spans="1:3">
      <c r="A21" s="5">
        <v>1</v>
      </c>
      <c r="B21" s="5" t="s">
        <v>154</v>
      </c>
      <c r="C21" s="5">
        <v>1</v>
      </c>
    </row>
    <row r="22" spans="1:3">
      <c r="A22" s="5">
        <v>2</v>
      </c>
      <c r="B22" s="5" t="s">
        <v>155</v>
      </c>
      <c r="C22" s="5">
        <v>2</v>
      </c>
    </row>
    <row r="23" spans="1:3">
      <c r="A23" s="5">
        <v>4</v>
      </c>
      <c r="B23" s="5" t="s">
        <v>156</v>
      </c>
      <c r="C23" s="5">
        <v>4</v>
      </c>
    </row>
    <row r="24" spans="1:3">
      <c r="A24" s="5">
        <v>12</v>
      </c>
      <c r="B24" s="5" t="s">
        <v>157</v>
      </c>
      <c r="C24" s="5">
        <v>12</v>
      </c>
    </row>
    <row r="26" spans="1:3">
      <c r="A26" s="2" t="s">
        <v>158</v>
      </c>
    </row>
    <row r="27" spans="1:3">
      <c r="A27" s="4" t="s">
        <v>127</v>
      </c>
      <c r="B27" s="4" t="s">
        <v>123</v>
      </c>
      <c r="C27" s="4" t="s">
        <v>103</v>
      </c>
    </row>
    <row r="28" spans="1:3">
      <c r="A28" s="5">
        <v>0</v>
      </c>
      <c r="B28" s="5" t="s">
        <v>159</v>
      </c>
      <c r="C28" s="5" t="s">
        <v>160</v>
      </c>
    </row>
    <row r="29" spans="1:3">
      <c r="A29" s="5">
        <v>1</v>
      </c>
      <c r="B29" s="5" t="s">
        <v>161</v>
      </c>
      <c r="C29" s="5" t="s">
        <v>162</v>
      </c>
    </row>
    <row r="30" spans="1:3">
      <c r="A30" s="5">
        <v>2</v>
      </c>
      <c r="B30" s="5" t="s">
        <v>163</v>
      </c>
      <c r="C30" s="5" t="s">
        <v>164</v>
      </c>
    </row>
    <row r="31" spans="1:3">
      <c r="A31" s="5">
        <v>3</v>
      </c>
      <c r="B31" s="5" t="s">
        <v>165</v>
      </c>
      <c r="C31" s="5" t="s">
        <v>166</v>
      </c>
    </row>
    <row r="33" spans="1:3">
      <c r="A33" s="2" t="s">
        <v>167</v>
      </c>
    </row>
    <row r="34" spans="1:3">
      <c r="A34" s="4" t="s">
        <v>127</v>
      </c>
      <c r="B34" s="4" t="s">
        <v>138</v>
      </c>
      <c r="C34" s="4" t="s">
        <v>103</v>
      </c>
    </row>
    <row r="35" spans="1:3">
      <c r="A35" s="5">
        <v>0</v>
      </c>
      <c r="B35" s="5" t="s">
        <v>168</v>
      </c>
      <c r="C35" s="5" t="s">
        <v>169</v>
      </c>
    </row>
    <row r="36" spans="1:3">
      <c r="A36" s="5">
        <v>1</v>
      </c>
      <c r="B36" s="5" t="s">
        <v>170</v>
      </c>
      <c r="C36" s="5" t="s">
        <v>171</v>
      </c>
    </row>
    <row r="37" spans="1:3">
      <c r="A37" s="5">
        <v>2</v>
      </c>
      <c r="B37" s="5" t="s">
        <v>172</v>
      </c>
      <c r="C37" s="5" t="s">
        <v>173</v>
      </c>
    </row>
    <row r="38" spans="1:3">
      <c r="A38" s="5">
        <v>3</v>
      </c>
      <c r="B38" s="5" t="s">
        <v>174</v>
      </c>
      <c r="C38" s="5" t="s">
        <v>175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Curves</vt:lpstr>
      <vt:lpstr>Bonds</vt:lpstr>
      <vt:lpstr>Pricing</vt:lpstr>
      <vt:lpstr>Risk</vt:lpstr>
      <vt:lpstr>Spreads</vt:lpstr>
      <vt:lpstr>Bootstrap</vt:lpstr>
      <vt:lpstr>Reference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2025-12-21T17:36:01Z</dcterms:created>
  <dcterms:modified xsi:type="dcterms:W3CDTF">2025-12-21T17:36:01Z</dcterms:modified>
</cp:coreProperties>
</file>