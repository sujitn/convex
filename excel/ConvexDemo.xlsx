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Overview" sheetId="1" state="visible" r:id="rId1"/>
    <sheet name="Curves" sheetId="2" state="visible" r:id="rId2"/>
    <sheet name="Bonds" sheetId="3" state="visible" r:id="rId3"/>
    <sheet name="Pricing" sheetId="4" state="visible" r:id="rId4"/>
    <sheet name="Risk" sheetId="5" state="visible" r:id="rId5"/>
    <sheet name="Spreads" sheetId="6" state="visible" r:id="rId6"/>
    <sheet name="Bootstrap" sheetId="7" state="visible" r:id="rId7"/>
    <sheet name="Reference" sheetId="8" state="visible" r:id="rId8"/>
    <sheet name="Callable" sheetId="9" state="visible" r:id="rId9"/>
    <sheet name="FR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4"/>
      <scheme val="minor"/>
    </font>
    <font>
      <name val="Calibri"/>
      <family val="2"/>
      <b val="1"/>
      <color rgb="FF1F4E79"/>
      <sz val="12"/>
      <scheme val="minor"/>
    </font>
    <font>
      <name val="Consolas"/>
      <family val="2"/>
      <color theme="1"/>
      <sz val="10"/>
    </font>
    <font>
      <name val="Calibri"/>
      <family val="2"/>
      <b val="1"/>
      <color theme="1"/>
      <sz val="11"/>
      <scheme val="minor"/>
    </font>
    <font>
      <b val="1"/>
      <sz val="14"/>
    </font>
    <font>
      <b val="1"/>
    </font>
  </fonts>
  <fills count="8">
    <fill>
      <patternFill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00FFFF99"/>
        <bgColor rgb="00FFFF99"/>
      </patternFill>
    </fill>
    <fill>
      <patternFill patternType="solid">
        <fgColor rgb="0090EE90"/>
        <bgColor rgb="0090EE9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3" borderId="1" pivotButton="0" quotePrefix="0" xfId="0"/>
    <xf numFmtId="0" fontId="4" fillId="4" borderId="1" pivotButton="0" quotePrefix="0" xfId="0"/>
    <xf numFmtId="0" fontId="0" fillId="0" borderId="1" pivotButton="0" quotePrefix="0" xfId="0"/>
    <xf numFmtId="164" fontId="0" fillId="5" borderId="1" pivotButton="0" quotePrefix="0" xfId="0"/>
    <xf numFmtId="0" fontId="0" fillId="5" borderId="1" pivotButton="0" quotePrefix="0" xfId="0"/>
    <xf numFmtId="0" fontId="5" fillId="0" borderId="0" pivotButton="0" quotePrefix="0" xfId="0"/>
    <xf numFmtId="165" fontId="0" fillId="6" borderId="0" pivotButton="0" quotePrefix="0" xfId="0"/>
    <xf numFmtId="0" fontId="0" fillId="7" borderId="0" pivotButton="0" quotePrefix="0" xfId="0"/>
    <xf numFmtId="0" fontId="0" fillId="6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tabSelected="1" workbookViewId="0">
      <selection activeCell="A1" sqref="A1"/>
    </sheetView>
  </sheetViews>
  <sheetFormatPr baseColWidth="8" defaultRowHeight="15"/>
  <cols>
    <col width="25.7109375" customWidth="1" min="1" max="1"/>
    <col width="50.7109375" customWidth="1" min="2" max="2"/>
  </cols>
  <sheetData>
    <row r="1">
      <c r="A1" s="1" t="inlineStr">
        <is>
          <t>Convex Fixed Income Analytics - Excel Add-in Demo</t>
        </is>
      </c>
    </row>
    <row r="2"/>
    <row r="3">
      <c r="A3" t="inlineStr">
        <is>
          <t>This workbook demonstrates all capabilities of the Convex Excel Add-in.</t>
        </is>
      </c>
    </row>
    <row r="4">
      <c r="A4" t="inlineStr">
        <is>
          <t>Yellow cells = inputs you can modify. Green cells = formula results.</t>
        </is>
      </c>
    </row>
    <row r="5"/>
    <row r="6">
      <c r="A6" s="2" t="inlineStr">
        <is>
          <t>Quick Start - Test Add-in Loading</t>
        </is>
      </c>
    </row>
    <row r="7">
      <c r="A7" t="inlineStr">
        <is>
          <t>Version:</t>
        </is>
      </c>
      <c r="B7" s="3">
        <f>CX.VERSION()</f>
        <v/>
      </c>
    </row>
    <row r="8">
      <c r="A8" t="inlineStr">
        <is>
          <t>Load Status:</t>
        </is>
      </c>
      <c r="B8" s="3">
        <f>CX.LOAD.STATUS()</f>
        <v/>
      </c>
    </row>
    <row r="9"/>
    <row r="10">
      <c r="A10" s="2" t="inlineStr">
        <is>
          <t>Function Categories</t>
        </is>
      </c>
    </row>
    <row r="11">
      <c r="A11" s="4" t="inlineStr">
        <is>
          <t>Category</t>
        </is>
      </c>
      <c r="B11" s="4" t="inlineStr">
        <is>
          <t>Functions</t>
        </is>
      </c>
    </row>
    <row r="12">
      <c r="A12" s="5" t="inlineStr">
        <is>
          <t>Curves</t>
        </is>
      </c>
      <c r="B12" s="5" t="inlineStr">
        <is>
          <t>CX.CURVE, CX.CURVE.ZERO, CX.CURVE.DISCOUNT, CX.CURVE.FORWARD</t>
        </is>
      </c>
    </row>
    <row r="13">
      <c r="A13" s="5" t="inlineStr">
        <is>
          <t>Bonds</t>
        </is>
      </c>
      <c r="B13" s="5" t="inlineStr">
        <is>
          <t>CX.BOND, CX.BOND.CORP, CX.BOND.TSY, CX.BOND.CALLABLE</t>
        </is>
      </c>
    </row>
    <row r="14">
      <c r="A14" s="5" t="inlineStr">
        <is>
          <t>Pricing</t>
        </is>
      </c>
      <c r="B14" s="5" t="inlineStr">
        <is>
          <t>CX.YIELD, CX.PRICE, CX.DIRTY.PRICE, CX.BOND.ACCRUED</t>
        </is>
      </c>
    </row>
    <row r="15">
      <c r="A15" s="5" t="inlineStr">
        <is>
          <t>Risk Metrics</t>
        </is>
      </c>
      <c r="B15" s="5" t="inlineStr">
        <is>
          <t>CX.DURATION, CX.DURATION.MAC, CX.CONVEXITY, CX.DV01</t>
        </is>
      </c>
    </row>
    <row r="16">
      <c r="A16" s="5" t="inlineStr">
        <is>
          <t>Spreads</t>
        </is>
      </c>
      <c r="B16" s="5" t="inlineStr">
        <is>
          <t>CX.ZSPREAD, CX.ISPREAD, CX.GSPREAD, CX.ASW</t>
        </is>
      </c>
    </row>
    <row r="17">
      <c r="A17" s="5" t="inlineStr">
        <is>
          <t>Bootstrapping</t>
        </is>
      </c>
      <c r="B17" s="5" t="inlineStr">
        <is>
          <t>CX.BOOTSTRAP, CX.BOOTSTRAP.OIS, CX.BOOTSTRAP.MIXED</t>
        </is>
      </c>
    </row>
    <row r="18">
      <c r="A18" t="inlineStr">
        <is>
          <t>Zero/FRN Bonds</t>
        </is>
      </c>
      <c r="B18" t="inlineStr">
        <is>
          <t>CX.BOND.ZERO, CX.BOND.TBILL, CX.BOND.FRN, CX.BOND.TSYFRN</t>
        </is>
      </c>
    </row>
    <row r="19">
      <c r="A19" t="inlineStr">
        <is>
          <t>Advanced Analytics</t>
        </is>
      </c>
      <c r="B19" t="inlineStr">
        <is>
          <t>CX.YIELD.WORST, CX.OAS, CX.SIMPLE.MARGIN, CX.DISCOUNT.MARGIN</t>
        </is>
      </c>
    </row>
    <row r="20">
      <c r="A20" t="inlineStr">
        <is>
          <t>Handles are returned as #CX#100, #CX#101, etc.</t>
        </is>
      </c>
    </row>
  </sheetData>
  <mergeCells count="1">
    <mergeCell ref="A1:G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0.7109375" customWidth="1" min="1" max="1"/>
    <col width="15.7109375" customWidth="1" min="2" max="3"/>
    <col width="40.7109375" customWidth="1" min="4" max="4"/>
  </cols>
  <sheetData>
    <row r="1">
      <c r="A1" s="1" t="inlineStr">
        <is>
          <t>Yield Curve Construction &amp; Queries</t>
        </is>
      </c>
    </row>
    <row r="3">
      <c r="A3" s="2" t="inlineStr">
        <is>
          <t>1. Input Data</t>
        </is>
      </c>
    </row>
    <row r="4">
      <c r="A4" t="inlineStr">
        <is>
          <t>Reference Date:</t>
        </is>
      </c>
      <c r="B4" s="6" t="n">
        <v>46012</v>
      </c>
    </row>
    <row r="5">
      <c r="A5" t="inlineStr">
        <is>
          <t>Curve Name:</t>
        </is>
      </c>
      <c r="B5" s="7" t="inlineStr">
        <is>
          <t>USD.GOVT</t>
        </is>
      </c>
    </row>
    <row r="7">
      <c r="A7" s="4" t="inlineStr">
        <is>
          <t>Tenor (Years)</t>
        </is>
      </c>
      <c r="B7" s="4" t="inlineStr">
        <is>
          <t>Zero Rate (%)</t>
        </is>
      </c>
    </row>
    <row r="8">
      <c r="A8" s="7" t="n">
        <v>1</v>
      </c>
      <c r="B8" s="7" t="n">
        <v>4.5</v>
      </c>
    </row>
    <row r="9">
      <c r="A9" s="7" t="n">
        <v>2</v>
      </c>
      <c r="B9" s="7" t="n">
        <v>4.25</v>
      </c>
    </row>
    <row r="10">
      <c r="A10" s="7" t="n">
        <v>3</v>
      </c>
      <c r="B10" s="7" t="n">
        <v>4.1</v>
      </c>
    </row>
    <row r="11">
      <c r="A11" s="7" t="n">
        <v>5</v>
      </c>
      <c r="B11" s="7" t="n">
        <v>4</v>
      </c>
    </row>
    <row r="12">
      <c r="A12" s="7" t="n">
        <v>7</v>
      </c>
      <c r="B12" s="7" t="n">
        <v>4.05</v>
      </c>
    </row>
    <row r="13">
      <c r="A13" s="7" t="n">
        <v>10</v>
      </c>
      <c r="B13" s="7" t="n">
        <v>4.15</v>
      </c>
    </row>
    <row r="14">
      <c r="A14" s="7" t="n">
        <v>20</v>
      </c>
      <c r="B14" s="7" t="n">
        <v>4.4</v>
      </c>
    </row>
    <row r="15">
      <c r="A15" s="7" t="n">
        <v>30</v>
      </c>
      <c r="B15" s="7" t="n">
        <v>4.5</v>
      </c>
    </row>
    <row r="17">
      <c r="A17" s="2" t="inlineStr">
        <is>
          <t>2. Create Curve</t>
        </is>
      </c>
    </row>
    <row r="18">
      <c r="A18" t="inlineStr">
        <is>
          <t>Curve Handle:</t>
        </is>
      </c>
      <c r="B18" s="3">
        <f>CX.CURVE(B5, B4, A8:A15, B8:B15, 0, 1)</f>
        <v/>
      </c>
    </row>
    <row r="19">
      <c r="A19" t="inlineStr">
        <is>
          <t>Syntax:</t>
        </is>
      </c>
      <c r="B19" t="inlineStr">
        <is>
          <t>CX.CURVE(name, refDate, tenors, rates, interp, daycount)</t>
        </is>
      </c>
    </row>
    <row r="21">
      <c r="A21" s="2" t="inlineStr">
        <is>
          <t>3. Query Curve</t>
        </is>
      </c>
    </row>
    <row r="22">
      <c r="A22" s="4" t="inlineStr">
        <is>
          <t>Query</t>
        </is>
      </c>
      <c r="B22" s="4" t="inlineStr">
        <is>
          <t>Tenor</t>
        </is>
      </c>
      <c r="C22" s="4" t="inlineStr">
        <is>
          <t>Result</t>
        </is>
      </c>
      <c r="D22" s="4" t="inlineStr">
        <is>
          <t>Formula</t>
        </is>
      </c>
    </row>
    <row r="23">
      <c r="A23" s="5" t="inlineStr">
        <is>
          <t>Zero Rate @ 5Y</t>
        </is>
      </c>
      <c r="B23" s="7" t="n">
        <v>5</v>
      </c>
      <c r="C23" s="3">
        <f>CX.CURVE.ZERO(B18, B23)</f>
        <v/>
      </c>
      <c r="D23" s="5" t="inlineStr">
        <is>
          <t>CX.CURVE.ZERO(curve, tenor)</t>
        </is>
      </c>
    </row>
    <row r="24">
      <c r="A24" s="5" t="inlineStr">
        <is>
          <t>Zero Rate @ 15Y</t>
        </is>
      </c>
      <c r="B24" s="7" t="n">
        <v>15</v>
      </c>
      <c r="C24" s="3">
        <f>CX.CURVE.ZERO(B18, B24)</f>
        <v/>
      </c>
      <c r="D24" s="5" t="inlineStr">
        <is>
          <t>CX.CURVE.ZERO(curve, tenor)</t>
        </is>
      </c>
    </row>
    <row r="25">
      <c r="A25" s="5" t="inlineStr">
        <is>
          <t>Discount @ 5Y</t>
        </is>
      </c>
      <c r="B25" s="7" t="n">
        <v>5</v>
      </c>
      <c r="C25" s="3">
        <f>CX.CURVE.DISCOUNT(B18, B25)</f>
        <v/>
      </c>
      <c r="D25" s="5" t="inlineStr">
        <is>
          <t>CX.CURVE.DISCOUNT(curve, tenor)</t>
        </is>
      </c>
    </row>
    <row r="26">
      <c r="A26" s="5" t="inlineStr">
        <is>
          <t>Discount @ 10Y</t>
        </is>
      </c>
      <c r="B26" s="7" t="n">
        <v>10</v>
      </c>
      <c r="C26" s="3">
        <f>CX.CURVE.DISCOUNT(B18, B26)</f>
        <v/>
      </c>
      <c r="D26" s="5" t="inlineStr">
        <is>
          <t>CX.CURVE.DISCOUNT(curve, tenor)</t>
        </is>
      </c>
    </row>
    <row r="27">
      <c r="A27" s="5" t="inlineStr">
        <is>
          <t>Forward 2Y-5Y</t>
        </is>
      </c>
      <c r="B27" s="7" t="n">
        <v>2</v>
      </c>
      <c r="C27" s="3">
        <f>CX.CURVE.FORWARD(B18, B27, 5)</f>
        <v/>
      </c>
      <c r="D27" s="5" t="inlineStr">
        <is>
          <t>CX.CURVE.FORWARD(curve, t1, t2)</t>
        </is>
      </c>
    </row>
    <row r="28">
      <c r="A28" s="5" t="inlineStr">
        <is>
          <t>Forward 5Y-10Y</t>
        </is>
      </c>
      <c r="B28" s="7" t="n">
        <v>5</v>
      </c>
      <c r="C28" s="3">
        <f>CX.CURVE.FORWARD(B18, B28, 10)</f>
        <v/>
      </c>
      <c r="D28" s="5" t="inlineStr">
        <is>
          <t>CX.CURVE.FORWARD(curve, t1, t2)</t>
        </is>
      </c>
    </row>
  </sheetData>
  <mergeCells count="1">
    <mergeCell ref="A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selection activeCell="A1" sqref="A1"/>
    </sheetView>
  </sheetViews>
  <sheetFormatPr baseColWidth="8" defaultRowHeight="15"/>
  <cols>
    <col width="22.7109375" customWidth="1" min="1" max="1"/>
    <col width="20.7109375" customWidth="1" min="2" max="2"/>
    <col width="45.7109375" customWidth="1" min="3" max="3"/>
  </cols>
  <sheetData>
    <row r="1">
      <c r="A1" s="1" t="inlineStr">
        <is>
          <t>Bond Creation</t>
        </is>
      </c>
    </row>
    <row r="3">
      <c r="A3" s="2" t="inlineStr">
        <is>
          <t>1. Generic Fixed Rate Bond (CX.BOND)</t>
        </is>
      </c>
    </row>
    <row r="4">
      <c r="A4" t="inlineStr">
        <is>
          <t>Syntax: CX.BOND(isin, coupon%, frequency, maturity, issue, daycount, bdc)</t>
        </is>
      </c>
    </row>
    <row r="6">
      <c r="A6" t="inlineStr">
        <is>
          <t>ISIN:</t>
        </is>
      </c>
      <c r="B6" s="7" t="inlineStr">
        <is>
          <t>US123456789</t>
        </is>
      </c>
    </row>
    <row r="7">
      <c r="A7" t="inlineStr">
        <is>
          <t>Coupon (%):</t>
        </is>
      </c>
      <c r="B7" s="7" t="n">
        <v>5</v>
      </c>
    </row>
    <row r="8">
      <c r="A8" t="inlineStr">
        <is>
          <t>Frequency:</t>
        </is>
      </c>
      <c r="B8" s="7" t="n">
        <v>2</v>
      </c>
      <c r="C8" t="inlineStr">
        <is>
          <t>(1=Annual, 2=Semi, 4=Quarterly)</t>
        </is>
      </c>
    </row>
    <row r="9">
      <c r="A9" t="inlineStr">
        <is>
          <t>Maturity:</t>
        </is>
      </c>
      <c r="B9" s="6" t="n">
        <v>47837</v>
      </c>
    </row>
    <row r="10">
      <c r="A10" t="inlineStr">
        <is>
          <t>Issue Date:</t>
        </is>
      </c>
      <c r="B10" s="6" t="n">
        <v>45282</v>
      </c>
    </row>
    <row r="11">
      <c r="A11" t="inlineStr">
        <is>
          <t>Day Count:</t>
        </is>
      </c>
      <c r="B11" s="7" t="n">
        <v>1</v>
      </c>
      <c r="C11" t="inlineStr">
        <is>
          <t>(0=Act/360, 1=30/360, 2=Act/365, 3=Act/Act)</t>
        </is>
      </c>
    </row>
    <row r="13">
      <c r="A13" t="inlineStr">
        <is>
          <t>Bond Handle:</t>
        </is>
      </c>
      <c r="B13" s="3">
        <f>CX.BOND(B6, B7, B8, B9, B10, B11, 2)</f>
        <v/>
      </c>
    </row>
    <row r="16">
      <c r="A16" s="2" t="inlineStr">
        <is>
          <t>2. US Corporate Bond (CX.BOND.CORP)</t>
        </is>
      </c>
    </row>
    <row r="17">
      <c r="A17" t="inlineStr">
        <is>
          <t>Syntax: CX.BOND.CORP(isin, coupon%, maturity, issue)</t>
        </is>
      </c>
    </row>
    <row r="18">
      <c r="A18" t="inlineStr">
        <is>
          <t>Corp Bond:</t>
        </is>
      </c>
      <c r="B18" s="3">
        <f>CX.BOND.CORP("AAPL 5.0", 5.0, B9, B10)</f>
        <v/>
      </c>
    </row>
    <row r="21">
      <c r="A21" s="2" t="inlineStr">
        <is>
          <t>3. US Treasury Bond (CX.BOND.TSY)</t>
        </is>
      </c>
    </row>
    <row r="22">
      <c r="A22" t="inlineStr">
        <is>
          <t>Syntax: CX.BOND.TSY(isin, coupon%, maturity, issue)</t>
        </is>
      </c>
    </row>
    <row r="23">
      <c r="A23" t="inlineStr">
        <is>
          <t>Treasury:</t>
        </is>
      </c>
      <c r="B23" s="3">
        <f>CX.BOND.TSY("T 4.5", 4.5, B9, B10)</f>
        <v/>
      </c>
    </row>
    <row r="26">
      <c r="A26" s="2" t="inlineStr">
        <is>
          <t>4. Callable Bond (CX.BOND.CALLABLE)</t>
        </is>
      </c>
    </row>
    <row r="27">
      <c r="A27" t="inlineStr">
        <is>
          <t>Syntax: CX.BOND.CALLABLE(isin, coupon%, maturity, issue, callDate, callPrice)</t>
        </is>
      </c>
    </row>
    <row r="28">
      <c r="A28" t="inlineStr">
        <is>
          <t>Call Date:</t>
        </is>
      </c>
      <c r="B28" s="6" t="n">
        <v>46742</v>
      </c>
    </row>
    <row r="29">
      <c r="A29" t="inlineStr">
        <is>
          <t>Call Price:</t>
        </is>
      </c>
      <c r="B29" s="7" t="n">
        <v>100</v>
      </c>
    </row>
    <row r="30">
      <c r="A30" t="inlineStr">
        <is>
          <t>Callable Bond:</t>
        </is>
      </c>
      <c r="B30" s="3">
        <f>CX.BOND.CALLABLE("CALL 5.5", 5.5, B9, B10, B28, B29)</f>
        <v/>
      </c>
    </row>
    <row r="32">
      <c r="A32" s="8" t="inlineStr">
        <is>
          <t>4. Zero Coupon Bond (CX.BOND.ZERO)</t>
        </is>
      </c>
    </row>
    <row r="33">
      <c r="A33" t="inlineStr">
        <is>
          <t>Syntax: CX.BOND.ZERO(isin, maturity, issue, compounding, daycount)</t>
        </is>
      </c>
    </row>
    <row r="34">
      <c r="A34" t="inlineStr">
        <is>
          <t>Maturity:</t>
        </is>
      </c>
      <c r="B34" s="9" t="n">
        <v>46188</v>
      </c>
    </row>
    <row r="35">
      <c r="A35" t="inlineStr">
        <is>
          <t>Issue Date:</t>
        </is>
      </c>
      <c r="B35" s="9" t="n">
        <v>45458</v>
      </c>
    </row>
    <row r="36">
      <c r="A36" t="inlineStr">
        <is>
          <t>Zero Bond:</t>
        </is>
      </c>
      <c r="B36" s="10">
        <f>CX.BOND.ZERO("ZERO TEST", B34, B35, 1, 2)</f>
        <v/>
      </c>
    </row>
    <row r="39">
      <c r="A39" s="8" t="inlineStr">
        <is>
          <t>5. US Treasury Bill (CX.BOND.TBILL)</t>
        </is>
      </c>
    </row>
    <row r="40">
      <c r="A40" t="inlineStr">
        <is>
          <t>Syntax: CX.BOND.TBILL(cusip, maturity, issue)</t>
        </is>
      </c>
    </row>
    <row r="41">
      <c r="A41" t="inlineStr">
        <is>
          <t>T-Bill:</t>
        </is>
      </c>
      <c r="B41" s="10">
        <f>CX.BOND.TBILL("TBILL 3M", DATE(2026,3,15), DATE(2025,12,15))</f>
        <v/>
      </c>
    </row>
    <row r="44">
      <c r="A44" s="8" t="inlineStr">
        <is>
          <t>6. Floating Rate Note (CX.BOND.FRN)</t>
        </is>
      </c>
    </row>
    <row r="45">
      <c r="A45" t="inlineStr">
        <is>
          <t>Syntax: CX.BOND.FRN(isin, spreadBps, maturity, issue, freq, rateIndex, daycount)</t>
        </is>
      </c>
    </row>
    <row r="46">
      <c r="A46" t="inlineStr">
        <is>
          <t>Spread (bps):</t>
        </is>
      </c>
      <c r="B46" s="11" t="n">
        <v>50</v>
      </c>
    </row>
    <row r="47">
      <c r="A47" t="inlineStr">
        <is>
          <t>FRN Handle:</t>
        </is>
      </c>
      <c r="B47" s="10">
        <f>CX.BOND.FRN("FRN TEST", B46, DATE(2030,12,20), DATE(2023,12,22), 4, 0, 0)</f>
        <v/>
      </c>
    </row>
    <row r="50">
      <c r="A50" s="8" t="inlineStr">
        <is>
          <t>7. US Treasury FRN (CX.BOND.TSYFRN)</t>
        </is>
      </c>
    </row>
    <row r="51">
      <c r="A51" t="inlineStr">
        <is>
          <t>Syntax: CX.BOND.TSYFRN(cusip, spreadBps, maturity, issue)</t>
        </is>
      </c>
    </row>
    <row r="52">
      <c r="A52" t="inlineStr">
        <is>
          <t>TSY FRN:</t>
        </is>
      </c>
      <c r="B52" s="10">
        <f>CX.BOND.TSYFRN("TSYFRN 2Y", 10, DATE(2027,12,20), DATE(2025,12,20))</f>
        <v/>
      </c>
    </row>
  </sheetData>
  <mergeCells count="1">
    <mergeCell ref="A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5.7109375" customWidth="1" min="1" max="1"/>
    <col width="18.7109375" customWidth="1" min="2" max="2"/>
    <col width="45.7109375" customWidth="1" min="3" max="3"/>
  </cols>
  <sheetData>
    <row r="1">
      <c r="A1" s="1" t="inlineStr">
        <is>
          <t>Bond Pricing &amp; Yield Calculations</t>
        </is>
      </c>
    </row>
    <row r="3">
      <c r="A3" s="2" t="inlineStr">
        <is>
          <t>Setup</t>
        </is>
      </c>
    </row>
    <row r="4">
      <c r="A4" t="inlineStr">
        <is>
          <t>Bond Handle:</t>
        </is>
      </c>
      <c r="B4" s="3">
        <f>CX.BOND.CORP("PRICING TEST", 5.0, DATE(2030,12,20), DATE(2023,12,22))</f>
        <v/>
      </c>
    </row>
    <row r="5">
      <c r="A5" t="inlineStr">
        <is>
          <t>Settlement Date:</t>
        </is>
      </c>
      <c r="B5" s="6" t="n">
        <v>46012</v>
      </c>
    </row>
    <row r="7">
      <c r="A7" s="2" t="inlineStr">
        <is>
          <t>1. Yield from Price (CX.YIELD)</t>
        </is>
      </c>
    </row>
    <row r="8">
      <c r="A8" t="inlineStr">
        <is>
          <t>Clean Price (input):</t>
        </is>
      </c>
      <c r="B8" s="7" t="n">
        <v>98.5</v>
      </c>
    </row>
    <row r="9">
      <c r="A9" t="inlineStr">
        <is>
          <t>YTM (%):</t>
        </is>
      </c>
      <c r="B9" s="3">
        <f>CX.YIELD(B4, B5, B8)</f>
        <v/>
      </c>
    </row>
    <row r="11">
      <c r="A11" s="2" t="inlineStr">
        <is>
          <t>2. Price from Yield (CX.PRICE)</t>
        </is>
      </c>
    </row>
    <row r="12">
      <c r="A12" t="inlineStr">
        <is>
          <t>Yield (input %):</t>
        </is>
      </c>
      <c r="B12" s="7" t="n">
        <v>5.25</v>
      </c>
    </row>
    <row r="13">
      <c r="A13" t="inlineStr">
        <is>
          <t>Clean Price:</t>
        </is>
      </c>
      <c r="B13" s="3">
        <f>CX.PRICE(B4, B5, B12)</f>
        <v/>
      </c>
    </row>
    <row r="15">
      <c r="A15" s="2" t="inlineStr">
        <is>
          <t>3. Dirty Price &amp; Accrued</t>
        </is>
      </c>
    </row>
    <row r="16">
      <c r="A16" t="inlineStr">
        <is>
          <t>Dirty Price:</t>
        </is>
      </c>
      <c r="B16" s="3">
        <f>CX.DIRTY.PRICE(B4, B5, B12)</f>
        <v/>
      </c>
    </row>
    <row r="17">
      <c r="A17" t="inlineStr">
        <is>
          <t>Accrued Interest:</t>
        </is>
      </c>
      <c r="B17" s="3">
        <f>CX.BOND.ACCRUED(B4, B5)</f>
        <v/>
      </c>
    </row>
  </sheetData>
  <mergeCells count="1">
    <mergeCell ref="A1:G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5.7109375" customWidth="1" min="1" max="1"/>
    <col width="18.7109375" customWidth="1" min="2" max="2"/>
    <col width="45.7109375" customWidth="1" min="3" max="3"/>
  </cols>
  <sheetData>
    <row r="1">
      <c r="A1" s="1" t="inlineStr">
        <is>
          <t>Bond Risk Analytics</t>
        </is>
      </c>
    </row>
    <row r="3">
      <c r="A3" s="2" t="inlineStr">
        <is>
          <t>Setup</t>
        </is>
      </c>
    </row>
    <row r="4">
      <c r="A4" t="inlineStr">
        <is>
          <t>Bond Handle:</t>
        </is>
      </c>
      <c r="B4" s="3">
        <f>CX.BOND.CORP("RISK TEST", 5.0, DATE(2030,12,20), DATE(2023,12,22))</f>
        <v/>
      </c>
    </row>
    <row r="5">
      <c r="A5" t="inlineStr">
        <is>
          <t>Settlement Date:</t>
        </is>
      </c>
      <c r="B5" s="6" t="n">
        <v>46012</v>
      </c>
    </row>
    <row r="6">
      <c r="A6" t="inlineStr">
        <is>
          <t>Yield (%):</t>
        </is>
      </c>
      <c r="B6" s="7" t="n">
        <v>5</v>
      </c>
    </row>
    <row r="8">
      <c r="A8" s="2" t="inlineStr">
        <is>
          <t>Duration Measures</t>
        </is>
      </c>
    </row>
    <row r="9">
      <c r="A9" s="4" t="inlineStr">
        <is>
          <t>Metric</t>
        </is>
      </c>
      <c r="B9" s="4" t="inlineStr">
        <is>
          <t>Value</t>
        </is>
      </c>
      <c r="C9" s="4" t="inlineStr">
        <is>
          <t>Formula</t>
        </is>
      </c>
    </row>
    <row r="10">
      <c r="A10" s="5" t="inlineStr">
        <is>
          <t>Modified Duration</t>
        </is>
      </c>
      <c r="B10" s="3">
        <f>CX.DURATION(B4, B5, B6)</f>
        <v/>
      </c>
      <c r="C10" s="5" t="inlineStr">
        <is>
          <t>CX.DURATION(bond, settle, yield%)</t>
        </is>
      </c>
    </row>
    <row r="11">
      <c r="A11" s="5" t="inlineStr">
        <is>
          <t>Macaulay Duration</t>
        </is>
      </c>
      <c r="B11" s="3">
        <f>CX.DURATION.MAC(B4, B5, B6)</f>
        <v/>
      </c>
      <c r="C11" s="5" t="inlineStr">
        <is>
          <t>CX.DURATION.MAC(bond, settle, yield%)</t>
        </is>
      </c>
    </row>
    <row r="13">
      <c r="A13" s="2" t="inlineStr">
        <is>
          <t>Convexity &amp; DV01</t>
        </is>
      </c>
    </row>
    <row r="14">
      <c r="A14" s="4" t="inlineStr">
        <is>
          <t>Metric</t>
        </is>
      </c>
      <c r="B14" s="4" t="inlineStr">
        <is>
          <t>Value</t>
        </is>
      </c>
      <c r="C14" s="4" t="inlineStr">
        <is>
          <t>Formula</t>
        </is>
      </c>
    </row>
    <row r="15">
      <c r="A15" s="5" t="inlineStr">
        <is>
          <t>Convexity</t>
        </is>
      </c>
      <c r="B15" s="3">
        <f>CX.CONVEXITY(B4, B5, B6)</f>
        <v/>
      </c>
      <c r="C15" s="5" t="inlineStr">
        <is>
          <t>CX.CONVEXITY(bond, settle, yield%)</t>
        </is>
      </c>
    </row>
    <row r="16">
      <c r="A16" s="5" t="inlineStr">
        <is>
          <t>DV01 (per $100)</t>
        </is>
      </c>
      <c r="B16" s="3">
        <f>CX.DV01(B4, B5, B6)</f>
        <v/>
      </c>
      <c r="C16" s="5" t="inlineStr">
        <is>
          <t>CX.DV01(bond, settle, yield%)</t>
        </is>
      </c>
    </row>
  </sheetData>
  <mergeCells count="1">
    <mergeCell ref="A1:G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5.7109375" customWidth="1" min="1" max="1"/>
    <col width="18.7109375" customWidth="1" min="2" max="2"/>
    <col width="50.7109375" customWidth="1" min="3" max="3"/>
  </cols>
  <sheetData>
    <row r="1">
      <c r="A1" s="1" t="inlineStr">
        <is>
          <t>Spread Calculations</t>
        </is>
      </c>
    </row>
    <row r="3">
      <c r="A3" s="2" t="inlineStr">
        <is>
          <t>Setup: Create Bond and Curve</t>
        </is>
      </c>
    </row>
    <row r="4">
      <c r="A4" t="inlineStr">
        <is>
          <t>Settlement Date:</t>
        </is>
      </c>
      <c r="B4" s="6" t="n">
        <v>46012</v>
      </c>
    </row>
    <row r="6">
      <c r="A6" t="inlineStr">
        <is>
          <t>Bond Handle:</t>
        </is>
      </c>
      <c r="B6" s="3">
        <f>CX.BOND.CORP("SPREAD TEST", 5.0, DATE(2030,12,20), DATE(2023,12,22))</f>
        <v/>
      </c>
    </row>
    <row r="7">
      <c r="A7" t="inlineStr">
        <is>
          <t>Govt Curve Handle:</t>
        </is>
      </c>
      <c r="B7" s="3">
        <f>CX.CURVE("GOVT", B4, {1,2,5,10}, {4.0,4.1,4.2,4.3}, 0, 1)</f>
        <v/>
      </c>
    </row>
    <row r="8">
      <c r="A8" t="inlineStr">
        <is>
          <t>Clean Price:</t>
        </is>
      </c>
      <c r="B8" s="7" t="n">
        <v>98.5</v>
      </c>
    </row>
    <row r="10">
      <c r="A10" s="2" t="inlineStr">
        <is>
          <t>Spread Measures (bps)</t>
        </is>
      </c>
    </row>
    <row r="11">
      <c r="A11" s="4" t="inlineStr">
        <is>
          <t>Spread</t>
        </is>
      </c>
      <c r="B11" s="4" t="inlineStr">
        <is>
          <t>Value</t>
        </is>
      </c>
      <c r="C11" s="4" t="inlineStr">
        <is>
          <t>Description</t>
        </is>
      </c>
    </row>
    <row r="12">
      <c r="A12" s="5" t="inlineStr">
        <is>
          <t>Z-Spread</t>
        </is>
      </c>
      <c r="B12" s="3">
        <f>CX.ZSPREAD(B6, B7, B4, B8)</f>
        <v/>
      </c>
      <c r="C12" s="5" t="inlineStr">
        <is>
          <t>Constant spread over zero curve</t>
        </is>
      </c>
    </row>
    <row r="13">
      <c r="A13" s="5" t="inlineStr">
        <is>
          <t>I-Spread</t>
        </is>
      </c>
      <c r="B13" s="3">
        <f>CX.ISPREAD(B6, B7, B4, B8)</f>
        <v/>
      </c>
      <c r="C13" s="5" t="inlineStr">
        <is>
          <t>Spread vs interpolated swap rate</t>
        </is>
      </c>
    </row>
    <row r="14">
      <c r="A14" s="5" t="inlineStr">
        <is>
          <t>G-Spread</t>
        </is>
      </c>
      <c r="B14" s="3">
        <f>CX.GSPREAD(B6, B7, B4, B8)</f>
        <v/>
      </c>
      <c r="C14" s="5" t="inlineStr">
        <is>
          <t>Spread vs government benchmark</t>
        </is>
      </c>
    </row>
    <row r="15">
      <c r="A15" s="5" t="inlineStr">
        <is>
          <t>ASW Spread</t>
        </is>
      </c>
      <c r="B15" s="3">
        <f>CX.ASW(B6, B7, B4, B8)</f>
        <v/>
      </c>
      <c r="C15" s="5" t="inlineStr">
        <is>
          <t>Asset swap spread</t>
        </is>
      </c>
    </row>
  </sheetData>
  <mergeCells count="1">
    <mergeCell ref="A1:G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22.7109375" customWidth="1" min="1" max="1"/>
    <col width="15.7109375" customWidth="1" min="2" max="5"/>
  </cols>
  <sheetData>
    <row r="1">
      <c r="A1" s="1" t="inlineStr">
        <is>
          <t>Curve Bootstrapping from Market Instruments</t>
        </is>
      </c>
    </row>
    <row r="3">
      <c r="A3" s="2" t="inlineStr">
        <is>
          <t>1. Deposit &amp; Swap Bootstrap</t>
        </is>
      </c>
    </row>
    <row r="4">
      <c r="A4" t="inlineStr">
        <is>
          <t>Reference Date:</t>
        </is>
      </c>
      <c r="B4" s="6" t="n">
        <v>46012</v>
      </c>
    </row>
    <row r="6">
      <c r="A6" s="4" t="inlineStr">
        <is>
          <t>Deposits</t>
        </is>
      </c>
      <c r="C6" s="4" t="inlineStr">
        <is>
          <t>Swaps</t>
        </is>
      </c>
    </row>
    <row r="7">
      <c r="A7" s="4" t="inlineStr">
        <is>
          <t>Tenor</t>
        </is>
      </c>
      <c r="B7" s="4" t="inlineStr">
        <is>
          <t>Rate (%)</t>
        </is>
      </c>
      <c r="C7" s="4" t="inlineStr">
        <is>
          <t>Tenor</t>
        </is>
      </c>
      <c r="D7" s="4" t="inlineStr">
        <is>
          <t>Rate (%)</t>
        </is>
      </c>
    </row>
    <row r="8">
      <c r="A8" s="7" t="n">
        <v>0.25</v>
      </c>
      <c r="B8" s="7" t="n">
        <v>4.8</v>
      </c>
      <c r="C8" s="7" t="n">
        <v>2</v>
      </c>
      <c r="D8" s="7" t="n">
        <v>4.4</v>
      </c>
    </row>
    <row r="9">
      <c r="A9" s="7" t="n">
        <v>0.5</v>
      </c>
      <c r="B9" s="7" t="n">
        <v>4.7</v>
      </c>
      <c r="C9" s="7" t="n">
        <v>3</v>
      </c>
      <c r="D9" s="7" t="n">
        <v>4.3</v>
      </c>
    </row>
    <row r="10">
      <c r="A10" s="7" t="n">
        <v>1</v>
      </c>
      <c r="B10" s="7" t="n">
        <v>4.6</v>
      </c>
      <c r="C10" s="7" t="n">
        <v>5</v>
      </c>
      <c r="D10" s="7" t="n">
        <v>4.2</v>
      </c>
    </row>
    <row r="11">
      <c r="C11" s="7" t="n">
        <v>7</v>
      </c>
      <c r="D11" s="7" t="n">
        <v>4.25</v>
      </c>
    </row>
    <row r="12">
      <c r="C12" s="7" t="n">
        <v>10</v>
      </c>
      <c r="D12" s="7" t="n">
        <v>4.35</v>
      </c>
    </row>
    <row r="14">
      <c r="A14" t="inlineStr">
        <is>
          <t>Bootstrapped Curve:</t>
        </is>
      </c>
      <c r="B14" s="3">
        <f>CX.BOOTSTRAP("USD.SWAP", B4, A8:A10, B8:B10, C8:C12, D8:D12, 0, 1)</f>
        <v/>
      </c>
    </row>
    <row r="17">
      <c r="A17" s="2" t="inlineStr">
        <is>
          <t>2. OIS Bootstrap</t>
        </is>
      </c>
    </row>
    <row r="18">
      <c r="A18" s="4" t="inlineStr">
        <is>
          <t>Tenor</t>
        </is>
      </c>
      <c r="B18" s="4" t="inlineStr">
        <is>
          <t>OIS Rate (%)</t>
        </is>
      </c>
    </row>
    <row r="19">
      <c r="A19" s="7" t="n">
        <v>0.25</v>
      </c>
      <c r="B19" s="7" t="n">
        <v>4.3</v>
      </c>
    </row>
    <row r="20">
      <c r="A20" s="7" t="n">
        <v>0.5</v>
      </c>
      <c r="B20" s="7" t="n">
        <v>4.28</v>
      </c>
    </row>
    <row r="21">
      <c r="A21" s="7" t="n">
        <v>1</v>
      </c>
      <c r="B21" s="7" t="n">
        <v>4.25</v>
      </c>
    </row>
    <row r="22">
      <c r="A22" s="7" t="n">
        <v>2</v>
      </c>
      <c r="B22" s="7" t="n">
        <v>4.2</v>
      </c>
    </row>
    <row r="23">
      <c r="A23" s="7" t="n">
        <v>5</v>
      </c>
      <c r="B23" s="7" t="n">
        <v>4.15</v>
      </c>
    </row>
    <row r="25">
      <c r="A25" t="inlineStr">
        <is>
          <t>OIS Curve:</t>
        </is>
      </c>
      <c r="B25" s="3">
        <f>CX.BOOTSTRAP.OIS("USD.OIS", B4, A19:A23, B19:B23, 0, 1)</f>
        <v/>
      </c>
    </row>
    <row r="28">
      <c r="A28" s="2" t="inlineStr">
        <is>
          <t>3. Mixed Instruments</t>
        </is>
      </c>
    </row>
    <row r="29">
      <c r="A29" t="inlineStr">
        <is>
          <t>Types: 0=Deposit, 1=FRA, 2=Swap, 3=OIS</t>
        </is>
      </c>
    </row>
    <row r="30">
      <c r="A30" s="4" t="inlineStr">
        <is>
          <t>Type</t>
        </is>
      </c>
      <c r="B30" s="4" t="inlineStr">
        <is>
          <t>Tenor</t>
        </is>
      </c>
      <c r="C30" s="4" t="inlineStr">
        <is>
          <t>Rate (%)</t>
        </is>
      </c>
    </row>
    <row r="31">
      <c r="A31" s="7" t="n">
        <v>0</v>
      </c>
      <c r="B31" s="7" t="n">
        <v>0.25</v>
      </c>
      <c r="C31" s="7" t="n">
        <v>4.8</v>
      </c>
    </row>
    <row r="32">
      <c r="A32" s="7" t="n">
        <v>0</v>
      </c>
      <c r="B32" s="7" t="n">
        <v>0.5</v>
      </c>
      <c r="C32" s="7" t="n">
        <v>4.7</v>
      </c>
    </row>
    <row r="33">
      <c r="A33" s="7" t="n">
        <v>2</v>
      </c>
      <c r="B33" s="7" t="n">
        <v>2</v>
      </c>
      <c r="C33" s="7" t="n">
        <v>4.4</v>
      </c>
    </row>
    <row r="34">
      <c r="A34" s="7" t="n">
        <v>2</v>
      </c>
      <c r="B34" s="7" t="n">
        <v>5</v>
      </c>
      <c r="C34" s="7" t="n">
        <v>4.2</v>
      </c>
    </row>
    <row r="35">
      <c r="A35" s="7" t="n">
        <v>2</v>
      </c>
      <c r="B35" s="7" t="n">
        <v>10</v>
      </c>
      <c r="C35" s="7" t="n">
        <v>4.35</v>
      </c>
    </row>
    <row r="37">
      <c r="A37" t="inlineStr">
        <is>
          <t>Mixed Curve:</t>
        </is>
      </c>
      <c r="B37" s="3">
        <f>CX.BOOTSTRAP.MIXED("USD.MIXED", B4, A31:A35, B31:B35, C31:C35, 0, 1)</f>
        <v/>
      </c>
    </row>
  </sheetData>
  <mergeCells count="1">
    <mergeCell ref="A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5.7109375" customWidth="1" min="1" max="1"/>
    <col width="18.7109375" customWidth="1" min="2" max="2"/>
    <col width="50.7109375" customWidth="1" min="3" max="3"/>
  </cols>
  <sheetData>
    <row r="1">
      <c r="A1" s="1" t="inlineStr">
        <is>
          <t>Parameter Reference</t>
        </is>
      </c>
    </row>
    <row r="3">
      <c r="A3" s="2" t="inlineStr">
        <is>
          <t>Interpolation Methods</t>
        </is>
      </c>
    </row>
    <row r="4">
      <c r="A4" s="4" t="inlineStr">
        <is>
          <t>Code</t>
        </is>
      </c>
      <c r="B4" s="4" t="inlineStr">
        <is>
          <t>Method</t>
        </is>
      </c>
      <c r="C4" s="4" t="inlineStr">
        <is>
          <t>Description</t>
        </is>
      </c>
    </row>
    <row r="5">
      <c r="A5" s="5" t="n">
        <v>0</v>
      </c>
      <c r="B5" s="5" t="inlineStr">
        <is>
          <t>Linear</t>
        </is>
      </c>
      <c r="C5" s="5" t="inlineStr">
        <is>
          <t>Linear interpolation on zero rates</t>
        </is>
      </c>
    </row>
    <row r="6">
      <c r="A6" s="5" t="n">
        <v>1</v>
      </c>
      <c r="B6" s="5" t="inlineStr">
        <is>
          <t>LogLinear</t>
        </is>
      </c>
      <c r="C6" s="5" t="inlineStr">
        <is>
          <t>Linear on log discount factors</t>
        </is>
      </c>
    </row>
    <row r="7">
      <c r="A7" s="5" t="n">
        <v>2</v>
      </c>
      <c r="B7" s="5" t="inlineStr">
        <is>
          <t>Cubic</t>
        </is>
      </c>
      <c r="C7" s="5" t="inlineStr">
        <is>
          <t>Cubic spline</t>
        </is>
      </c>
    </row>
    <row r="8">
      <c r="A8" s="5" t="n">
        <v>3</v>
      </c>
      <c r="B8" s="5" t="inlineStr">
        <is>
          <t>MonotoneConvex</t>
        </is>
      </c>
      <c r="C8" s="5" t="inlineStr">
        <is>
          <t>Hagan-West monotone convex</t>
        </is>
      </c>
    </row>
    <row r="10">
      <c r="A10" s="2" t="inlineStr">
        <is>
          <t>Day Count Conventions</t>
        </is>
      </c>
    </row>
    <row r="11">
      <c r="A11" s="4" t="inlineStr">
        <is>
          <t>Code</t>
        </is>
      </c>
      <c r="B11" s="4" t="inlineStr">
        <is>
          <t>Convention</t>
        </is>
      </c>
      <c r="C11" s="4" t="inlineStr">
        <is>
          <t>Description</t>
        </is>
      </c>
    </row>
    <row r="12">
      <c r="A12" s="5" t="n">
        <v>0</v>
      </c>
      <c r="B12" s="5" t="inlineStr">
        <is>
          <t>Act/360</t>
        </is>
      </c>
      <c r="C12" s="5" t="inlineStr">
        <is>
          <t>Actual days / 360</t>
        </is>
      </c>
    </row>
    <row r="13">
      <c r="A13" s="5" t="n">
        <v>1</v>
      </c>
      <c r="B13" s="5" t="inlineStr">
        <is>
          <t>30/360</t>
        </is>
      </c>
      <c r="C13" s="5" t="inlineStr">
        <is>
          <t>30 days per month / 360</t>
        </is>
      </c>
    </row>
    <row r="14">
      <c r="A14" s="5" t="n">
        <v>2</v>
      </c>
      <c r="B14" s="5" t="inlineStr">
        <is>
          <t>Act/365</t>
        </is>
      </c>
      <c r="C14" s="5" t="inlineStr">
        <is>
          <t>Actual days / 365</t>
        </is>
      </c>
    </row>
    <row r="15">
      <c r="A15" s="5" t="n">
        <v>3</v>
      </c>
      <c r="B15" s="5" t="inlineStr">
        <is>
          <t>Act/Act ISDA</t>
        </is>
      </c>
      <c r="C15" s="5" t="inlineStr">
        <is>
          <t>Actual / Actual (ISDA)</t>
        </is>
      </c>
    </row>
    <row r="16">
      <c r="A16" s="5" t="n">
        <v>4</v>
      </c>
      <c r="B16" s="5" t="inlineStr">
        <is>
          <t>Act/Act ICMA</t>
        </is>
      </c>
      <c r="C16" s="5" t="inlineStr">
        <is>
          <t>Actual / Actual (ICMA)</t>
        </is>
      </c>
    </row>
    <row r="17">
      <c r="A17" s="5" t="n">
        <v>5</v>
      </c>
      <c r="B17" s="5" t="inlineStr">
        <is>
          <t>Bus/252</t>
        </is>
      </c>
      <c r="C17" s="5" t="inlineStr">
        <is>
          <t>Business days / 252</t>
        </is>
      </c>
    </row>
    <row r="19">
      <c r="A19" s="2" t="inlineStr">
        <is>
          <t>Frequency Codes</t>
        </is>
      </c>
    </row>
    <row r="20">
      <c r="A20" s="4" t="inlineStr">
        <is>
          <t>Code</t>
        </is>
      </c>
      <c r="B20" s="4" t="inlineStr">
        <is>
          <t>Frequency</t>
        </is>
      </c>
      <c r="C20" s="4" t="inlineStr">
        <is>
          <t>Payments/Year</t>
        </is>
      </c>
    </row>
    <row r="21">
      <c r="A21" s="5" t="n">
        <v>1</v>
      </c>
      <c r="B21" s="5" t="inlineStr">
        <is>
          <t>Annual</t>
        </is>
      </c>
      <c r="C21" s="5" t="n">
        <v>1</v>
      </c>
    </row>
    <row r="22">
      <c r="A22" s="5" t="n">
        <v>2</v>
      </c>
      <c r="B22" s="5" t="inlineStr">
        <is>
          <t>Semi-Annual</t>
        </is>
      </c>
      <c r="C22" s="5" t="n">
        <v>2</v>
      </c>
    </row>
    <row r="23">
      <c r="A23" s="5" t="n">
        <v>4</v>
      </c>
      <c r="B23" s="5" t="inlineStr">
        <is>
          <t>Quarterly</t>
        </is>
      </c>
      <c r="C23" s="5" t="n">
        <v>4</v>
      </c>
    </row>
    <row r="24">
      <c r="A24" s="5" t="n">
        <v>12</v>
      </c>
      <c r="B24" s="5" t="inlineStr">
        <is>
          <t>Monthly</t>
        </is>
      </c>
      <c r="C24" s="5" t="n">
        <v>12</v>
      </c>
    </row>
    <row r="26">
      <c r="A26" s="2" t="inlineStr">
        <is>
          <t>Instrument Types (Bootstrap)</t>
        </is>
      </c>
    </row>
    <row r="27">
      <c r="A27" s="4" t="inlineStr">
        <is>
          <t>Code</t>
        </is>
      </c>
      <c r="B27" s="4" t="inlineStr">
        <is>
          <t>Type</t>
        </is>
      </c>
      <c r="C27" s="4" t="inlineStr">
        <is>
          <t>Description</t>
        </is>
      </c>
    </row>
    <row r="28">
      <c r="A28" s="5" t="n">
        <v>0</v>
      </c>
      <c r="B28" s="5" t="inlineStr">
        <is>
          <t>Deposit</t>
        </is>
      </c>
      <c r="C28" s="5" t="inlineStr">
        <is>
          <t>Money market deposit</t>
        </is>
      </c>
    </row>
    <row r="29">
      <c r="A29" s="5" t="n">
        <v>1</v>
      </c>
      <c r="B29" s="5" t="inlineStr">
        <is>
          <t>FRA</t>
        </is>
      </c>
      <c r="C29" s="5" t="inlineStr">
        <is>
          <t>Forward rate agreement</t>
        </is>
      </c>
    </row>
    <row r="30">
      <c r="A30" s="5" t="n">
        <v>2</v>
      </c>
      <c r="B30" s="5" t="inlineStr">
        <is>
          <t>Swap</t>
        </is>
      </c>
      <c r="C30" s="5" t="inlineStr">
        <is>
          <t>Interest rate swap</t>
        </is>
      </c>
    </row>
    <row r="31">
      <c r="A31" s="5" t="n">
        <v>3</v>
      </c>
      <c r="B31" s="5" t="inlineStr">
        <is>
          <t>OIS</t>
        </is>
      </c>
      <c r="C31" s="5" t="inlineStr">
        <is>
          <t>Overnight index swap</t>
        </is>
      </c>
    </row>
    <row r="33">
      <c r="A33" s="2" t="inlineStr">
        <is>
          <t>Business Day Conventions</t>
        </is>
      </c>
    </row>
    <row r="34">
      <c r="A34" s="4" t="inlineStr">
        <is>
          <t>Code</t>
        </is>
      </c>
      <c r="B34" s="4" t="inlineStr">
        <is>
          <t>Convention</t>
        </is>
      </c>
      <c r="C34" s="4" t="inlineStr">
        <is>
          <t>Description</t>
        </is>
      </c>
    </row>
    <row r="35">
      <c r="A35" s="5" t="n">
        <v>0</v>
      </c>
      <c r="B35" s="5" t="inlineStr">
        <is>
          <t>None</t>
        </is>
      </c>
      <c r="C35" s="5" t="inlineStr">
        <is>
          <t>No adjustment</t>
        </is>
      </c>
    </row>
    <row r="36">
      <c r="A36" s="5" t="n">
        <v>1</v>
      </c>
      <c r="B36" s="5" t="inlineStr">
        <is>
          <t>Following</t>
        </is>
      </c>
      <c r="C36" s="5" t="inlineStr">
        <is>
          <t>Next business day</t>
        </is>
      </c>
    </row>
    <row r="37">
      <c r="A37" s="5" t="n">
        <v>2</v>
      </c>
      <c r="B37" s="5" t="inlineStr">
        <is>
          <t>ModifiedFollowing</t>
        </is>
      </c>
      <c r="C37" s="5" t="inlineStr">
        <is>
          <t>Next, unless different month</t>
        </is>
      </c>
    </row>
    <row r="38">
      <c r="A38" s="5" t="n">
        <v>3</v>
      </c>
      <c r="B38" s="5" t="inlineStr">
        <is>
          <t>Preceding</t>
        </is>
      </c>
      <c r="C38" s="5" t="inlineStr">
        <is>
          <t>Previous business day</t>
        </is>
      </c>
    </row>
    <row r="41">
      <c r="A41" s="12" t="inlineStr">
        <is>
          <t>Compounding Conventions</t>
        </is>
      </c>
    </row>
    <row r="42">
      <c r="A42" t="inlineStr">
        <is>
          <t>Code</t>
        </is>
      </c>
      <c r="B42" t="inlineStr">
        <is>
          <t>Convention</t>
        </is>
      </c>
      <c r="C42" t="inlineStr">
        <is>
          <t>Description</t>
        </is>
      </c>
    </row>
    <row r="43">
      <c r="A43" t="n">
        <v>0</v>
      </c>
      <c r="B43" t="inlineStr">
        <is>
          <t>Annual</t>
        </is>
      </c>
      <c r="C43" t="inlineStr">
        <is>
          <t>Once per year</t>
        </is>
      </c>
    </row>
    <row r="44">
      <c r="A44" t="n">
        <v>1</v>
      </c>
      <c r="B44" t="inlineStr">
        <is>
          <t>Semi-Annual</t>
        </is>
      </c>
      <c r="C44" t="inlineStr">
        <is>
          <t>Twice per year</t>
        </is>
      </c>
    </row>
    <row r="45">
      <c r="A45" t="n">
        <v>2</v>
      </c>
      <c r="B45" t="inlineStr">
        <is>
          <t>Quarterly</t>
        </is>
      </c>
      <c r="C45" t="inlineStr">
        <is>
          <t>Four times per year</t>
        </is>
      </c>
    </row>
    <row r="46">
      <c r="A46" t="n">
        <v>3</v>
      </c>
      <c r="B46" t="inlineStr">
        <is>
          <t>Monthly</t>
        </is>
      </c>
      <c r="C46" t="inlineStr">
        <is>
          <t>Twelve times per year</t>
        </is>
      </c>
    </row>
    <row r="47">
      <c r="A47" t="n">
        <v>4</v>
      </c>
      <c r="B47" t="inlineStr">
        <is>
          <t>Continuous</t>
        </is>
      </c>
      <c r="C47" t="inlineStr">
        <is>
          <t>Continuous compounding</t>
        </is>
      </c>
    </row>
    <row r="50">
      <c r="A50" s="12" t="inlineStr">
        <is>
          <t>Rate Index Codes (for FRN)</t>
        </is>
      </c>
    </row>
    <row r="51">
      <c r="A51" t="inlineStr">
        <is>
          <t>Code</t>
        </is>
      </c>
      <c r="B51" t="inlineStr">
        <is>
          <t>Index</t>
        </is>
      </c>
      <c r="C51" t="inlineStr">
        <is>
          <t>Region</t>
        </is>
      </c>
    </row>
    <row r="52">
      <c r="A52" t="n">
        <v>0</v>
      </c>
      <c r="B52" t="inlineStr">
        <is>
          <t>SOFR</t>
        </is>
      </c>
      <c r="C52" t="inlineStr">
        <is>
          <t>USD</t>
        </is>
      </c>
    </row>
    <row r="53">
      <c r="A53" t="n">
        <v>1</v>
      </c>
      <c r="B53" t="inlineStr">
        <is>
          <t>ESTR</t>
        </is>
      </c>
      <c r="C53" t="inlineStr">
        <is>
          <t>EUR</t>
        </is>
      </c>
    </row>
    <row r="54">
      <c r="A54" t="n">
        <v>2</v>
      </c>
      <c r="B54" t="inlineStr">
        <is>
          <t>SONIA</t>
        </is>
      </c>
      <c r="C54" t="inlineStr">
        <is>
          <t>GBP</t>
        </is>
      </c>
    </row>
    <row r="55">
      <c r="A55" t="n">
        <v>8</v>
      </c>
      <c r="B55" t="inlineStr">
        <is>
          <t>EURIBOR 1M</t>
        </is>
      </c>
      <c r="C55" t="inlineStr">
        <is>
          <t>EUR</t>
        </is>
      </c>
    </row>
    <row r="56">
      <c r="A56" t="n">
        <v>9</v>
      </c>
      <c r="B56" t="inlineStr">
        <is>
          <t>EURIBOR 3M</t>
        </is>
      </c>
      <c r="C56" t="inlineStr">
        <is>
          <t>EUR</t>
        </is>
      </c>
    </row>
  </sheetData>
  <mergeCells count="1"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  <col width="45" customWidth="1" min="3" max="3"/>
  </cols>
  <sheetData>
    <row r="1">
      <c r="A1" s="8" t="inlineStr">
        <is>
          <t>Callable Bond Analytics</t>
        </is>
      </c>
    </row>
    <row r="3">
      <c r="A3" t="inlineStr">
        <is>
          <t>Setup: Create Callable Bond and Curve</t>
        </is>
      </c>
    </row>
    <row r="4">
      <c r="A4" t="inlineStr">
        <is>
          <t>Settlement Date:</t>
        </is>
      </c>
      <c r="B4" s="9" t="n">
        <v>46013</v>
      </c>
    </row>
    <row r="5">
      <c r="A5" t="inlineStr">
        <is>
          <t>Callable Bond:</t>
        </is>
      </c>
      <c r="B5" s="10">
        <f>CX.BOND.CALLABLE("CALL TEST", 5.0, DATE(2030,12,20), DATE(2023,12,22), DATE(2027,12,20), 102, 2, 4)</f>
        <v/>
      </c>
    </row>
    <row r="6">
      <c r="A6" t="inlineStr">
        <is>
          <t>Curve Handle:</t>
        </is>
      </c>
      <c r="B6" s="10">
        <f>CX.CURVE("GOVT", B4, {1,2,5,10}, {4.0,4.1,4.2,4.3}, 0, 1)</f>
        <v/>
      </c>
    </row>
    <row r="7">
      <c r="A7" t="inlineStr">
        <is>
          <t>Clean Price:</t>
        </is>
      </c>
      <c r="B7" s="11" t="n">
        <v>101.5</v>
      </c>
    </row>
    <row r="9">
      <c r="A9" s="12" t="inlineStr">
        <is>
          <t>Yield Calculations</t>
        </is>
      </c>
    </row>
    <row r="10">
      <c r="A10" t="inlineStr">
        <is>
          <t>Metric</t>
        </is>
      </c>
      <c r="B10" t="inlineStr">
        <is>
          <t>Value</t>
        </is>
      </c>
      <c r="C10" t="inlineStr">
        <is>
          <t>Formula</t>
        </is>
      </c>
    </row>
    <row r="11">
      <c r="A11" t="inlineStr">
        <is>
          <t>Yield to Maturity (%)</t>
        </is>
      </c>
      <c r="B11" s="10">
        <f>CX.YIELD(B5, B4, B7)</f>
        <v/>
      </c>
      <c r="C11" t="inlineStr">
        <is>
          <t>CX.YIELD(bond, settle, price)</t>
        </is>
      </c>
    </row>
    <row r="12">
      <c r="A12" t="inlineStr">
        <is>
          <t>Yield to Call (%)</t>
        </is>
      </c>
      <c r="B12" s="10">
        <f>CX.YIELD.CALL(B5, B4, B7)</f>
        <v/>
      </c>
      <c r="C12" t="inlineStr">
        <is>
          <t>CX.YIELD.CALL(bond, settle, price)</t>
        </is>
      </c>
    </row>
    <row r="13">
      <c r="A13" t="inlineStr">
        <is>
          <t>Yield to Worst (%)</t>
        </is>
      </c>
      <c r="B13" s="10">
        <f>CX.YIELD.WORST(B5, B4, B7)</f>
        <v/>
      </c>
      <c r="C13" t="inlineStr">
        <is>
          <t>CX.YIELD.WORST(bond, settle, price)</t>
        </is>
      </c>
    </row>
    <row r="14">
      <c r="A14" t="inlineStr">
        <is>
          <t>Workout Date</t>
        </is>
      </c>
      <c r="B14" s="10">
        <f>CX.WORKOUT.DATE(B5, B4, B7)</f>
        <v/>
      </c>
      <c r="C14" t="inlineStr">
        <is>
          <t>CX.WORKOUT.DATE(bond, settle, price)</t>
        </is>
      </c>
    </row>
    <row r="16">
      <c r="A16" s="12" t="inlineStr">
        <is>
          <t>Option-Adjusted Spread</t>
        </is>
      </c>
    </row>
    <row r="17">
      <c r="A17" t="inlineStr">
        <is>
          <t>Volatility (%):</t>
        </is>
      </c>
      <c r="B17" s="11" t="n">
        <v>1</v>
      </c>
    </row>
    <row r="18">
      <c r="A18" t="inlineStr">
        <is>
          <t>Dirty Price:</t>
        </is>
      </c>
      <c r="B18" s="10">
        <f>CX.DIRTY.PRICE(B5, B4, CX.YIELD(B5, B4, B7))</f>
        <v/>
      </c>
    </row>
    <row r="19">
      <c r="A19" t="inlineStr">
        <is>
          <t>OAS (bps):</t>
        </is>
      </c>
      <c r="B19" s="10">
        <f>CX.OAS(B5, B6, B4, B18, B17)</f>
        <v/>
      </c>
      <c r="C19" t="inlineStr">
        <is>
          <t>CX.OAS(bond, curve, settle, dirtyPrice, vol%)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2" customWidth="1" min="1" max="1"/>
    <col width="70" customWidth="1" min="2" max="2"/>
    <col width="55" customWidth="1" min="3" max="3"/>
  </cols>
  <sheetData>
    <row r="1">
      <c r="A1" s="8" t="inlineStr">
        <is>
          <t>Floating Rate Note Analytics</t>
        </is>
      </c>
    </row>
    <row r="3">
      <c r="A3" t="inlineStr">
        <is>
          <t>Setup: Create FRN and Curve</t>
        </is>
      </c>
    </row>
    <row r="4">
      <c r="A4" t="inlineStr">
        <is>
          <t>Settlement Date:</t>
        </is>
      </c>
      <c r="B4" s="9" t="n">
        <v>46013</v>
      </c>
    </row>
    <row r="5">
      <c r="A5" t="inlineStr">
        <is>
          <t>FRN Handle:</t>
        </is>
      </c>
      <c r="B5" s="10">
        <f>CX.BOND.FRN("FRN SOFR+50", 50, DATE(2028,12,20), DATE(2023,12,22), 4, 0, 0)</f>
        <v/>
      </c>
    </row>
    <row r="6">
      <c r="A6" t="inlineStr">
        <is>
          <t>Curve Handle:</t>
        </is>
      </c>
      <c r="B6" s="10">
        <f>CX.CURVE("SOFR", B4, {0.25,0.5,1,2,3,5}, {4.3,4.28,4.25,4.2,4.15,4.1}, 0, 0)</f>
        <v/>
      </c>
    </row>
    <row r="8">
      <c r="A8" s="12" t="inlineStr">
        <is>
          <t>FRN Pricing</t>
        </is>
      </c>
    </row>
    <row r="9">
      <c r="A9" t="inlineStr">
        <is>
          <t>Dirty Price:</t>
        </is>
      </c>
      <c r="B9" s="11" t="n">
        <v>100.25</v>
      </c>
    </row>
    <row r="10">
      <c r="A10" t="inlineStr">
        <is>
          <t>Current Index (%):</t>
        </is>
      </c>
      <c r="B10" s="11" t="n">
        <v>4.3</v>
      </c>
    </row>
    <row r="12">
      <c r="A12" s="12" t="inlineStr">
        <is>
          <t>FRN Spread Measures</t>
        </is>
      </c>
    </row>
    <row r="13">
      <c r="A13" t="inlineStr">
        <is>
          <t>Metric</t>
        </is>
      </c>
      <c r="B13" t="inlineStr">
        <is>
          <t>Value</t>
        </is>
      </c>
      <c r="C13" t="inlineStr">
        <is>
          <t>Formula</t>
        </is>
      </c>
    </row>
    <row r="14">
      <c r="A14" t="inlineStr">
        <is>
          <t>Simple Margin (bps)</t>
        </is>
      </c>
      <c r="B14" s="10">
        <f>CX.SIMPLE.MARGIN(B5, B4, B9, B10)</f>
        <v/>
      </c>
      <c r="C14" t="inlineStr">
        <is>
          <t>CX.SIMPLE.MARGIN(frn, settle, dirtyPrice, indexRate%)</t>
        </is>
      </c>
    </row>
    <row r="15">
      <c r="A15" t="inlineStr">
        <is>
          <t>Discount Margin (bps)</t>
        </is>
      </c>
      <c r="B15" s="10">
        <f>CX.DISCOUNT.MARGIN(B5, B6, B6, B4, B9)</f>
        <v/>
      </c>
      <c r="C15" t="inlineStr">
        <is>
          <t>CX.DISCOUNT.MARGIN(frn, fwdCurve, discCurve, settle, dirtyPrice)</t>
        </is>
      </c>
    </row>
    <row r="17">
      <c r="A17" s="12" t="inlineStr">
        <is>
          <t>Rate Index Reference</t>
        </is>
      </c>
    </row>
    <row r="18">
      <c r="A18" t="inlineStr">
        <is>
          <t>Code</t>
        </is>
      </c>
      <c r="B18" t="inlineStr">
        <is>
          <t>Index</t>
        </is>
      </c>
    </row>
    <row r="19">
      <c r="A19" t="n">
        <v>0</v>
      </c>
      <c r="B19" t="inlineStr">
        <is>
          <t>SOFR</t>
        </is>
      </c>
    </row>
    <row r="20">
      <c r="A20" t="n">
        <v>1</v>
      </c>
      <c r="B20" t="inlineStr">
        <is>
          <t>ESTR</t>
        </is>
      </c>
    </row>
    <row r="21">
      <c r="A21" t="n">
        <v>2</v>
      </c>
      <c r="B21" t="inlineStr">
        <is>
          <t>SONIA</t>
        </is>
      </c>
    </row>
    <row r="22">
      <c r="A22" t="n">
        <v>8</v>
      </c>
      <c r="B22" t="inlineStr">
        <is>
          <t>EURIBOR 1M</t>
        </is>
      </c>
    </row>
    <row r="23">
      <c r="A23" t="n">
        <v>9</v>
      </c>
      <c r="B23" t="inlineStr">
        <is>
          <t>EURIBOR 3M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2025-12-21T17:36:01Z</dcterms:created>
  <dcterms:modified xsi:type="dcterms:W3CDTF">2025-12-22T16:28:10Z</dcterms:modified>
</cp:coreProperties>
</file>